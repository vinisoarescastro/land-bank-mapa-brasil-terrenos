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Users\vinicius.castro\Documents\01 Profissional\Buriti Empreendimentos\Repositórios\land-bank-mapa-brasil-terrenos\"/>
    </mc:Choice>
  </mc:AlternateContent>
  <xr:revisionPtr revIDLastSave="0" documentId="13_ncr:1_{0D12AF5C-8017-48DC-8234-6A6A405B2C90}" xr6:coauthVersionLast="47" xr6:coauthVersionMax="47" xr10:uidLastSave="{00000000-0000-0000-0000-000000000000}"/>
  <bookViews>
    <workbookView xWindow="28680" yWindow="-120" windowWidth="29040" windowHeight="15720" xr2:uid="{2D7381EB-1656-47BB-A82F-14AB3B13CCCD}"/>
  </bookViews>
  <sheets>
    <sheet name="AREAS" sheetId="1" r:id="rId1"/>
    <sheet name="DOCUMENTOS" sheetId="2" r:id="rId2"/>
  </sheets>
  <definedNames>
    <definedName name="_xlnm._FilterDatabase" localSheetId="0" hidden="1">AREAS!$A$1:$AM$241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1" i="1" l="1"/>
  <c r="AO241" i="1"/>
  <c r="AK240" i="1"/>
  <c r="AL240" i="1" s="1"/>
  <c r="AK241" i="1"/>
  <c r="AL241" i="1" s="1"/>
  <c r="AN241" i="1"/>
  <c r="AF234" i="1"/>
  <c r="AF231" i="1"/>
  <c r="AF232" i="1"/>
  <c r="AF233" i="1"/>
  <c r="AF235" i="1"/>
  <c r="AF236" i="1"/>
  <c r="AF237" i="1"/>
  <c r="AF238" i="1"/>
  <c r="AF239" i="1"/>
  <c r="AF240" i="1"/>
  <c r="T240" i="1"/>
  <c r="AO240" i="1"/>
  <c r="AN239" i="1"/>
  <c r="AN240" i="1"/>
  <c r="AE240" i="1"/>
  <c r="AB240" i="1"/>
  <c r="T236" i="1"/>
  <c r="T237" i="1"/>
  <c r="T238" i="1"/>
  <c r="T239" i="1"/>
  <c r="T235" i="1"/>
  <c r="T234" i="1"/>
  <c r="T229" i="1"/>
  <c r="AO239" i="1"/>
  <c r="AK239" i="1"/>
  <c r="AL239" i="1" s="1"/>
  <c r="AB239" i="1"/>
  <c r="AP241" i="1" l="1"/>
  <c r="AE239" i="1"/>
  <c r="AP240" i="1"/>
  <c r="AP239" i="1"/>
  <c r="AB233" i="1"/>
  <c r="AB232" i="1"/>
  <c r="AB231" i="1"/>
  <c r="AB186" i="1"/>
  <c r="AB237" i="1"/>
  <c r="AB236" i="1"/>
  <c r="AB235" i="1"/>
  <c r="AB227" i="1"/>
  <c r="AB214" i="1"/>
  <c r="AB204" i="1"/>
  <c r="AB51" i="1"/>
  <c r="AB178" i="1"/>
  <c r="AB169" i="1"/>
  <c r="AB160" i="1"/>
  <c r="AB154" i="1"/>
  <c r="AB153" i="1"/>
  <c r="AB192" i="1"/>
  <c r="AB191" i="1"/>
  <c r="AB184" i="1"/>
  <c r="AB183" i="1"/>
  <c r="AB182" i="1"/>
  <c r="AB238" i="1"/>
  <c r="AB234" i="1"/>
  <c r="AB14" i="1"/>
  <c r="AB13" i="1"/>
  <c r="AB19" i="1"/>
  <c r="AB158" i="1"/>
  <c r="AB156" i="1"/>
  <c r="AN234" i="1" l="1"/>
  <c r="AN231" i="1"/>
  <c r="AN232" i="1"/>
  <c r="AN233" i="1"/>
  <c r="AN235" i="1"/>
  <c r="AN236" i="1"/>
  <c r="AN237" i="1"/>
  <c r="AN238" i="1"/>
  <c r="AN230" i="1"/>
  <c r="AO232" i="1"/>
  <c r="AO233" i="1"/>
  <c r="AO234" i="1"/>
  <c r="AO235" i="1"/>
  <c r="AO236" i="1"/>
  <c r="AO237" i="1"/>
  <c r="AO238" i="1"/>
  <c r="AK238" i="1"/>
  <c r="AL238" i="1" l="1"/>
  <c r="AE238" i="1"/>
  <c r="AP238" i="1"/>
  <c r="AK236" i="1"/>
  <c r="AE236" i="1" s="1"/>
  <c r="AK235" i="1"/>
  <c r="AE235" i="1" s="1"/>
  <c r="AK237" i="1"/>
  <c r="AE237" i="1" s="1"/>
  <c r="AK234" i="1"/>
  <c r="AE234" i="1" s="1"/>
  <c r="AL234" i="1" l="1"/>
  <c r="AP234" i="1"/>
  <c r="AL237" i="1"/>
  <c r="AP237" i="1"/>
  <c r="AL235" i="1"/>
  <c r="AP235" i="1"/>
  <c r="AL236" i="1"/>
  <c r="AP236" i="1"/>
  <c r="T233" i="1"/>
  <c r="AK233" i="1"/>
  <c r="AE233" i="1" s="1"/>
  <c r="AO231" i="1"/>
  <c r="T232" i="1"/>
  <c r="AK232" i="1"/>
  <c r="AE232" i="1" s="1"/>
  <c r="T231" i="1"/>
  <c r="AK231" i="1"/>
  <c r="AE231" i="1" s="1"/>
  <c r="AK160" i="1"/>
  <c r="AL231" i="1" l="1"/>
  <c r="AP231" i="1"/>
  <c r="AL232" i="1"/>
  <c r="AP232" i="1"/>
  <c r="AL233" i="1"/>
  <c r="AP233" i="1"/>
  <c r="AK46" i="1"/>
  <c r="AE46" i="1" s="1"/>
  <c r="AK47" i="1"/>
  <c r="AB48" i="1"/>
  <c r="AN55" i="1"/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B3" i="1"/>
  <c r="AB4" i="1"/>
  <c r="AB5" i="1"/>
  <c r="AB6" i="1"/>
  <c r="AB7" i="1"/>
  <c r="AB8" i="1"/>
  <c r="AB9" i="1"/>
  <c r="AB10" i="1"/>
  <c r="AB11" i="1"/>
  <c r="AB12" i="1"/>
  <c r="AB15" i="1"/>
  <c r="AB16" i="1"/>
  <c r="AB17" i="1"/>
  <c r="AB18" i="1"/>
  <c r="AB20" i="1"/>
  <c r="AB21" i="1"/>
  <c r="AB22" i="1"/>
  <c r="AB23" i="1"/>
  <c r="AB24" i="1"/>
  <c r="AB25" i="1"/>
  <c r="AB26" i="1"/>
  <c r="AB27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9" i="1"/>
  <c r="AB52" i="1"/>
  <c r="AB53" i="1"/>
  <c r="AB54" i="1"/>
  <c r="AB56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8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5" i="1"/>
  <c r="AB157" i="1"/>
  <c r="AB159" i="1"/>
  <c r="AB161" i="1"/>
  <c r="AB162" i="1"/>
  <c r="AB163" i="1"/>
  <c r="AB164" i="1"/>
  <c r="AB165" i="1"/>
  <c r="AB166" i="1"/>
  <c r="AB167" i="1"/>
  <c r="AB168" i="1"/>
  <c r="AB170" i="1"/>
  <c r="AB171" i="1"/>
  <c r="AB172" i="1"/>
  <c r="AB173" i="1"/>
  <c r="AB174" i="1"/>
  <c r="AB175" i="1"/>
  <c r="AB176" i="1"/>
  <c r="AB177" i="1"/>
  <c r="AB179" i="1"/>
  <c r="AB180" i="1"/>
  <c r="AB181" i="1"/>
  <c r="AB185" i="1"/>
  <c r="AB187" i="1"/>
  <c r="AB188" i="1"/>
  <c r="AB189" i="1"/>
  <c r="AB190" i="1"/>
  <c r="AB193" i="1"/>
  <c r="AB194" i="1"/>
  <c r="AB195" i="1"/>
  <c r="AB196" i="1"/>
  <c r="AB197" i="1"/>
  <c r="AB198" i="1"/>
  <c r="AB199" i="1"/>
  <c r="AB200" i="1"/>
  <c r="AB205" i="1"/>
  <c r="AB206" i="1"/>
  <c r="AB207" i="1"/>
  <c r="AB208" i="1"/>
  <c r="AB209" i="1"/>
  <c r="AB210" i="1"/>
  <c r="AB211" i="1"/>
  <c r="AB212" i="1"/>
  <c r="AB213" i="1"/>
  <c r="AB218" i="1"/>
  <c r="AB219" i="1"/>
  <c r="AB220" i="1"/>
  <c r="AB221" i="1"/>
  <c r="AB222" i="1"/>
  <c r="AB223" i="1"/>
  <c r="AB224" i="1"/>
  <c r="AB225" i="1"/>
  <c r="AB226" i="1"/>
  <c r="AB228" i="1"/>
  <c r="AB229" i="1"/>
  <c r="AB230" i="1"/>
  <c r="AB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30" i="1"/>
  <c r="T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E45" i="1" s="1"/>
  <c r="AE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E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" i="1"/>
  <c r="AE2" i="1" s="1"/>
  <c r="AP160" i="1" l="1"/>
  <c r="AP47" i="1"/>
  <c r="AP46" i="1"/>
  <c r="AE228" i="1"/>
  <c r="AP228" i="1"/>
  <c r="AE220" i="1"/>
  <c r="AP220" i="1"/>
  <c r="AE222" i="1"/>
  <c r="AP222" i="1"/>
  <c r="AE206" i="1"/>
  <c r="AP206" i="1"/>
  <c r="AE190" i="1"/>
  <c r="AP190" i="1"/>
  <c r="AE166" i="1"/>
  <c r="AP166" i="1"/>
  <c r="AE150" i="1"/>
  <c r="AP150" i="1"/>
  <c r="AE134" i="1"/>
  <c r="AP134" i="1"/>
  <c r="AE118" i="1"/>
  <c r="AP118" i="1"/>
  <c r="AE102" i="1"/>
  <c r="AP102" i="1"/>
  <c r="AL86" i="1"/>
  <c r="AP86" i="1"/>
  <c r="AL70" i="1"/>
  <c r="AP70" i="1"/>
  <c r="AE30" i="1"/>
  <c r="AP30" i="1"/>
  <c r="AE6" i="1"/>
  <c r="AP6" i="1"/>
  <c r="AE229" i="1"/>
  <c r="AP229" i="1"/>
  <c r="AE205" i="1"/>
  <c r="AP205" i="1"/>
  <c r="AL189" i="1"/>
  <c r="AP189" i="1"/>
  <c r="AL181" i="1"/>
  <c r="AP181" i="1"/>
  <c r="AE165" i="1"/>
  <c r="AP165" i="1"/>
  <c r="AE157" i="1"/>
  <c r="AP157" i="1"/>
  <c r="AE141" i="1"/>
  <c r="AP141" i="1"/>
  <c r="AE117" i="1"/>
  <c r="AP117" i="1"/>
  <c r="AE101" i="1"/>
  <c r="AP101" i="1"/>
  <c r="AE85" i="1"/>
  <c r="AP85" i="1"/>
  <c r="AE69" i="1"/>
  <c r="AP69" i="1"/>
  <c r="AP45" i="1"/>
  <c r="AE29" i="1"/>
  <c r="AP29" i="1"/>
  <c r="AL13" i="1"/>
  <c r="AP13" i="1"/>
  <c r="AL196" i="1"/>
  <c r="AP196" i="1"/>
  <c r="AE180" i="1"/>
  <c r="AP180" i="1"/>
  <c r="AL164" i="1"/>
  <c r="AP164" i="1"/>
  <c r="AE148" i="1"/>
  <c r="AP148" i="1"/>
  <c r="AL132" i="1"/>
  <c r="AP132" i="1"/>
  <c r="AL116" i="1"/>
  <c r="AP116" i="1"/>
  <c r="AE100" i="1"/>
  <c r="AP100" i="1"/>
  <c r="AE84" i="1"/>
  <c r="AP84" i="1"/>
  <c r="AE68" i="1"/>
  <c r="AP68" i="1"/>
  <c r="AE52" i="1"/>
  <c r="AP52" i="1"/>
  <c r="AE36" i="1"/>
  <c r="AP36" i="1"/>
  <c r="AL20" i="1"/>
  <c r="AP20" i="1"/>
  <c r="AE4" i="1"/>
  <c r="AP4" i="1"/>
  <c r="AE219" i="1"/>
  <c r="AP219" i="1"/>
  <c r="AE203" i="1"/>
  <c r="AP203" i="1"/>
  <c r="AE187" i="1"/>
  <c r="AP187" i="1"/>
  <c r="AE171" i="1"/>
  <c r="AP171" i="1"/>
  <c r="AL155" i="1"/>
  <c r="AP155" i="1"/>
  <c r="AL139" i="1"/>
  <c r="AP139" i="1"/>
  <c r="AE131" i="1"/>
  <c r="AP131" i="1"/>
  <c r="AL115" i="1"/>
  <c r="AP115" i="1"/>
  <c r="AE99" i="1"/>
  <c r="AP99" i="1"/>
  <c r="AE83" i="1"/>
  <c r="AP83" i="1"/>
  <c r="AE67" i="1"/>
  <c r="AP67" i="1"/>
  <c r="AE51" i="1"/>
  <c r="AP51" i="1"/>
  <c r="AL35" i="1"/>
  <c r="AP35" i="1"/>
  <c r="AE19" i="1"/>
  <c r="AP19" i="1"/>
  <c r="AE3" i="1"/>
  <c r="AP3" i="1"/>
  <c r="AL218" i="1"/>
  <c r="AP218" i="1"/>
  <c r="AE210" i="1"/>
  <c r="AP210" i="1"/>
  <c r="AL194" i="1"/>
  <c r="AP194" i="1"/>
  <c r="AE178" i="1"/>
  <c r="AP178" i="1"/>
  <c r="AE162" i="1"/>
  <c r="AP162" i="1"/>
  <c r="AL146" i="1"/>
  <c r="AP146" i="1"/>
  <c r="AE138" i="1"/>
  <c r="AP138" i="1"/>
  <c r="AE122" i="1"/>
  <c r="AP122" i="1"/>
  <c r="AL106" i="1"/>
  <c r="AP106" i="1"/>
  <c r="AE90" i="1"/>
  <c r="AP90" i="1"/>
  <c r="AL74" i="1"/>
  <c r="AP74" i="1"/>
  <c r="AE66" i="1"/>
  <c r="AP66" i="1"/>
  <c r="AE50" i="1"/>
  <c r="AP50" i="1"/>
  <c r="AL34" i="1"/>
  <c r="AP34" i="1"/>
  <c r="AE18" i="1"/>
  <c r="AP18" i="1"/>
  <c r="AE217" i="1"/>
  <c r="AP217" i="1"/>
  <c r="AL201" i="1"/>
  <c r="AP201" i="1"/>
  <c r="AE185" i="1"/>
  <c r="AP185" i="1"/>
  <c r="AE169" i="1"/>
  <c r="AP169" i="1"/>
  <c r="AE153" i="1"/>
  <c r="AP153" i="1"/>
  <c r="AE137" i="1"/>
  <c r="AP137" i="1"/>
  <c r="AL121" i="1"/>
  <c r="AP121" i="1"/>
  <c r="AE105" i="1"/>
  <c r="AP105" i="1"/>
  <c r="AE89" i="1"/>
  <c r="AP89" i="1"/>
  <c r="AL73" i="1"/>
  <c r="AP73" i="1"/>
  <c r="AL65" i="1"/>
  <c r="AP65" i="1"/>
  <c r="AE49" i="1"/>
  <c r="AP49" i="1"/>
  <c r="AL33" i="1"/>
  <c r="AP33" i="1"/>
  <c r="AE17" i="1"/>
  <c r="AP17" i="1"/>
  <c r="AE208" i="1"/>
  <c r="AP208" i="1"/>
  <c r="AL200" i="1"/>
  <c r="AP200" i="1"/>
  <c r="AL192" i="1"/>
  <c r="AP192" i="1"/>
  <c r="AE184" i="1"/>
  <c r="AP184" i="1"/>
  <c r="AE176" i="1"/>
  <c r="AP176" i="1"/>
  <c r="AE168" i="1"/>
  <c r="AP168" i="1"/>
  <c r="AE152" i="1"/>
  <c r="AP152" i="1"/>
  <c r="AE144" i="1"/>
  <c r="AP144" i="1"/>
  <c r="AE136" i="1"/>
  <c r="AP136" i="1"/>
  <c r="AE128" i="1"/>
  <c r="AP128" i="1"/>
  <c r="AL120" i="1"/>
  <c r="AP120" i="1"/>
  <c r="AL112" i="1"/>
  <c r="AP112" i="1"/>
  <c r="AE104" i="1"/>
  <c r="AP104" i="1"/>
  <c r="AE96" i="1"/>
  <c r="AP96" i="1"/>
  <c r="AE88" i="1"/>
  <c r="AP88" i="1"/>
  <c r="AE80" i="1"/>
  <c r="AP80" i="1"/>
  <c r="AE72" i="1"/>
  <c r="AP72" i="1"/>
  <c r="AE64" i="1"/>
  <c r="AP64" i="1"/>
  <c r="AE56" i="1"/>
  <c r="AP56" i="1"/>
  <c r="AE48" i="1"/>
  <c r="AP48" i="1"/>
  <c r="AE40" i="1"/>
  <c r="AP40" i="1"/>
  <c r="AE32" i="1"/>
  <c r="AP32" i="1"/>
  <c r="AE24" i="1"/>
  <c r="AP24" i="1"/>
  <c r="AE16" i="1"/>
  <c r="AP16" i="1"/>
  <c r="AE8" i="1"/>
  <c r="AP8" i="1"/>
  <c r="AE230" i="1"/>
  <c r="AP230" i="1"/>
  <c r="AL214" i="1"/>
  <c r="AP214" i="1"/>
  <c r="AE198" i="1"/>
  <c r="AP198" i="1"/>
  <c r="AE182" i="1"/>
  <c r="AP182" i="1"/>
  <c r="AL174" i="1"/>
  <c r="AP174" i="1"/>
  <c r="AL158" i="1"/>
  <c r="AP158" i="1"/>
  <c r="AE142" i="1"/>
  <c r="AP142" i="1"/>
  <c r="AE126" i="1"/>
  <c r="AP126" i="1"/>
  <c r="AE110" i="1"/>
  <c r="AP110" i="1"/>
  <c r="AE94" i="1"/>
  <c r="AP94" i="1"/>
  <c r="AE78" i="1"/>
  <c r="AP78" i="1"/>
  <c r="AL62" i="1"/>
  <c r="AP62" i="1"/>
  <c r="AE54" i="1"/>
  <c r="AP54" i="1"/>
  <c r="AE38" i="1"/>
  <c r="AP38" i="1"/>
  <c r="AL22" i="1"/>
  <c r="AP22" i="1"/>
  <c r="AL14" i="1"/>
  <c r="AP14" i="1"/>
  <c r="AE221" i="1"/>
  <c r="AP221" i="1"/>
  <c r="AL213" i="1"/>
  <c r="AP213" i="1"/>
  <c r="AE197" i="1"/>
  <c r="AP197" i="1"/>
  <c r="AE173" i="1"/>
  <c r="AP173" i="1"/>
  <c r="AL149" i="1"/>
  <c r="AP149" i="1"/>
  <c r="AE133" i="1"/>
  <c r="AP133" i="1"/>
  <c r="AE125" i="1"/>
  <c r="AP125" i="1"/>
  <c r="AL109" i="1"/>
  <c r="AP109" i="1"/>
  <c r="AE93" i="1"/>
  <c r="AP93" i="1"/>
  <c r="AL77" i="1"/>
  <c r="AP77" i="1"/>
  <c r="AE61" i="1"/>
  <c r="AP61" i="1"/>
  <c r="AE53" i="1"/>
  <c r="AP53" i="1"/>
  <c r="AE37" i="1"/>
  <c r="AP37" i="1"/>
  <c r="AL21" i="1"/>
  <c r="AP21" i="1"/>
  <c r="AL5" i="1"/>
  <c r="AP5" i="1"/>
  <c r="AL212" i="1"/>
  <c r="AP212" i="1"/>
  <c r="AE204" i="1"/>
  <c r="AP204" i="1"/>
  <c r="AE188" i="1"/>
  <c r="AP188" i="1"/>
  <c r="AE172" i="1"/>
  <c r="AP172" i="1"/>
  <c r="AE156" i="1"/>
  <c r="AP156" i="1"/>
  <c r="AE140" i="1"/>
  <c r="AP140" i="1"/>
  <c r="AE124" i="1"/>
  <c r="AP124" i="1"/>
  <c r="AE108" i="1"/>
  <c r="AP108" i="1"/>
  <c r="AE92" i="1"/>
  <c r="AP92" i="1"/>
  <c r="AL76" i="1"/>
  <c r="AP76" i="1"/>
  <c r="AL60" i="1"/>
  <c r="AP60" i="1"/>
  <c r="AE44" i="1"/>
  <c r="AP44" i="1"/>
  <c r="AL28" i="1"/>
  <c r="AP28" i="1"/>
  <c r="AE12" i="1"/>
  <c r="AP12" i="1"/>
  <c r="AE227" i="1"/>
  <c r="AP227" i="1"/>
  <c r="AE211" i="1"/>
  <c r="AP211" i="1"/>
  <c r="AL195" i="1"/>
  <c r="AP195" i="1"/>
  <c r="AE179" i="1"/>
  <c r="AP179" i="1"/>
  <c r="AE163" i="1"/>
  <c r="AP163" i="1"/>
  <c r="AL147" i="1"/>
  <c r="AP147" i="1"/>
  <c r="AE123" i="1"/>
  <c r="AP123" i="1"/>
  <c r="AE107" i="1"/>
  <c r="AP107" i="1"/>
  <c r="AE91" i="1"/>
  <c r="AP91" i="1"/>
  <c r="AL75" i="1"/>
  <c r="AP75" i="1"/>
  <c r="AL59" i="1"/>
  <c r="AP59" i="1"/>
  <c r="AE43" i="1"/>
  <c r="AP43" i="1"/>
  <c r="AE27" i="1"/>
  <c r="AP27" i="1"/>
  <c r="AE11" i="1"/>
  <c r="AP11" i="1"/>
  <c r="AE226" i="1"/>
  <c r="AP226" i="1"/>
  <c r="AE202" i="1"/>
  <c r="AP202" i="1"/>
  <c r="AE186" i="1"/>
  <c r="AP186" i="1"/>
  <c r="AE170" i="1"/>
  <c r="AP170" i="1"/>
  <c r="AL154" i="1"/>
  <c r="AP154" i="1"/>
  <c r="AE130" i="1"/>
  <c r="AP130" i="1"/>
  <c r="AL114" i="1"/>
  <c r="AP114" i="1"/>
  <c r="AE98" i="1"/>
  <c r="AP98" i="1"/>
  <c r="AE82" i="1"/>
  <c r="AP82" i="1"/>
  <c r="AE58" i="1"/>
  <c r="AP58" i="1"/>
  <c r="AE42" i="1"/>
  <c r="AP42" i="1"/>
  <c r="AE26" i="1"/>
  <c r="AP26" i="1"/>
  <c r="AL10" i="1"/>
  <c r="AP10" i="1"/>
  <c r="AE225" i="1"/>
  <c r="AP225" i="1"/>
  <c r="AL209" i="1"/>
  <c r="AP209" i="1"/>
  <c r="AL193" i="1"/>
  <c r="AP193" i="1"/>
  <c r="AE177" i="1"/>
  <c r="AP177" i="1"/>
  <c r="AE161" i="1"/>
  <c r="AP161" i="1"/>
  <c r="AE145" i="1"/>
  <c r="AP145" i="1"/>
  <c r="AE129" i="1"/>
  <c r="AP129" i="1"/>
  <c r="AL113" i="1"/>
  <c r="AP113" i="1"/>
  <c r="AE97" i="1"/>
  <c r="AP97" i="1"/>
  <c r="AE81" i="1"/>
  <c r="AP81" i="1"/>
  <c r="AE57" i="1"/>
  <c r="AP57" i="1"/>
  <c r="AE41" i="1"/>
  <c r="AP41" i="1"/>
  <c r="AE25" i="1"/>
  <c r="AP25" i="1"/>
  <c r="AL9" i="1"/>
  <c r="AP9" i="1"/>
  <c r="AL224" i="1"/>
  <c r="AP224" i="1"/>
  <c r="AE216" i="1"/>
  <c r="AP216" i="1"/>
  <c r="AE223" i="1"/>
  <c r="AP223" i="1"/>
  <c r="AE215" i="1"/>
  <c r="AP215" i="1"/>
  <c r="AL207" i="1"/>
  <c r="AP207" i="1"/>
  <c r="AL199" i="1"/>
  <c r="AP199" i="1"/>
  <c r="AE191" i="1"/>
  <c r="AP191" i="1"/>
  <c r="AE183" i="1"/>
  <c r="AP183" i="1"/>
  <c r="AE175" i="1"/>
  <c r="AP175" i="1"/>
  <c r="AL167" i="1"/>
  <c r="AP167" i="1"/>
  <c r="AE159" i="1"/>
  <c r="AP159" i="1"/>
  <c r="AE151" i="1"/>
  <c r="AP151" i="1"/>
  <c r="AE143" i="1"/>
  <c r="AP143" i="1"/>
  <c r="AE135" i="1"/>
  <c r="AP135" i="1"/>
  <c r="AE127" i="1"/>
  <c r="AP127" i="1"/>
  <c r="AL119" i="1"/>
  <c r="AP119" i="1"/>
  <c r="AE111" i="1"/>
  <c r="AP111" i="1"/>
  <c r="AE103" i="1"/>
  <c r="AP103" i="1"/>
  <c r="AE95" i="1"/>
  <c r="AP95" i="1"/>
  <c r="AL87" i="1"/>
  <c r="AP87" i="1"/>
  <c r="AL79" i="1"/>
  <c r="AP79" i="1"/>
  <c r="AE71" i="1"/>
  <c r="AP71" i="1"/>
  <c r="AE63" i="1"/>
  <c r="AP63" i="1"/>
  <c r="AE55" i="1"/>
  <c r="AP55" i="1"/>
  <c r="AE39" i="1"/>
  <c r="AP39" i="1"/>
  <c r="AE31" i="1"/>
  <c r="AP31" i="1"/>
  <c r="AE23" i="1"/>
  <c r="AP23" i="1"/>
  <c r="AL15" i="1"/>
  <c r="AP15" i="1"/>
  <c r="AE7" i="1"/>
  <c r="AP7" i="1"/>
  <c r="AP2" i="1"/>
  <c r="AE87" i="1"/>
  <c r="AE15" i="1"/>
  <c r="AE75" i="1"/>
  <c r="AE35" i="1"/>
  <c r="AE28" i="1"/>
  <c r="AL54" i="1"/>
  <c r="AE207" i="1"/>
  <c r="AL53" i="1"/>
  <c r="AL227" i="1"/>
  <c r="AE14" i="1"/>
  <c r="AE139" i="1"/>
  <c r="AE167" i="1"/>
  <c r="AL48" i="1"/>
  <c r="AL8" i="1"/>
  <c r="AE13" i="1"/>
  <c r="AL107" i="1"/>
  <c r="AE155" i="1"/>
  <c r="AL94" i="1"/>
  <c r="AL92" i="1"/>
  <c r="AL95" i="1"/>
  <c r="AE181" i="1"/>
  <c r="AL93" i="1"/>
  <c r="AE60" i="1"/>
  <c r="AL40" i="1"/>
  <c r="AE214" i="1"/>
  <c r="AL153" i="1"/>
  <c r="AL152" i="1"/>
  <c r="AL61" i="1"/>
  <c r="AE213" i="1"/>
  <c r="AE195" i="1"/>
  <c r="AE147" i="1"/>
  <c r="AE62" i="1"/>
  <c r="AE194" i="1"/>
  <c r="AL220" i="1"/>
  <c r="AL180" i="1"/>
  <c r="AL179" i="1"/>
  <c r="AL219" i="1"/>
  <c r="AE196" i="1"/>
  <c r="AE193" i="1"/>
  <c r="AL127" i="1"/>
  <c r="AE192" i="1"/>
  <c r="AL17" i="1"/>
  <c r="AL101" i="1"/>
  <c r="AL16" i="1"/>
  <c r="AE154" i="1"/>
  <c r="AE34" i="1"/>
  <c r="AL100" i="1"/>
  <c r="AL57" i="1"/>
  <c r="AE212" i="1"/>
  <c r="AE33" i="1"/>
  <c r="AL141" i="1"/>
  <c r="AL99" i="1"/>
  <c r="AL56" i="1"/>
  <c r="AE200" i="1"/>
  <c r="AE121" i="1"/>
  <c r="AL187" i="1"/>
  <c r="AL140" i="1"/>
  <c r="AL96" i="1"/>
  <c r="AL55" i="1"/>
  <c r="AE199" i="1"/>
  <c r="AE79" i="1"/>
  <c r="AL37" i="1"/>
  <c r="AE120" i="1"/>
  <c r="AE114" i="1"/>
  <c r="AE77" i="1"/>
  <c r="AL136" i="1"/>
  <c r="AE76" i="1"/>
  <c r="AL135" i="1"/>
  <c r="AL176" i="1"/>
  <c r="AL134" i="1"/>
  <c r="AL42" i="1"/>
  <c r="AE74" i="1"/>
  <c r="AL175" i="1"/>
  <c r="AL133" i="1"/>
  <c r="AL41" i="1"/>
  <c r="AE73" i="1"/>
  <c r="AL216" i="1"/>
  <c r="AL81" i="1"/>
  <c r="AE132" i="1"/>
  <c r="AL215" i="1"/>
  <c r="AL173" i="1"/>
  <c r="AL80" i="1"/>
  <c r="AE201" i="1"/>
  <c r="AE22" i="1"/>
  <c r="AL172" i="1"/>
  <c r="AL36" i="1"/>
  <c r="AE119" i="1"/>
  <c r="AE116" i="1"/>
  <c r="AL161" i="1"/>
  <c r="AE174" i="1"/>
  <c r="AE115" i="1"/>
  <c r="AL160" i="1"/>
  <c r="AL159" i="1"/>
  <c r="AE113" i="1"/>
  <c r="AL156" i="1"/>
  <c r="AE112" i="1"/>
  <c r="AL221" i="1"/>
  <c r="AE21" i="1"/>
  <c r="AE20" i="1"/>
  <c r="AL68" i="1"/>
  <c r="AL198" i="1"/>
  <c r="AL178" i="1"/>
  <c r="AL138" i="1"/>
  <c r="AL118" i="1"/>
  <c r="AL98" i="1"/>
  <c r="AL39" i="1"/>
  <c r="AL19" i="1"/>
  <c r="AE218" i="1"/>
  <c r="AE158" i="1"/>
  <c r="AE59" i="1"/>
  <c r="AL217" i="1"/>
  <c r="AL197" i="1"/>
  <c r="AL177" i="1"/>
  <c r="AL157" i="1"/>
  <c r="AL137" i="1"/>
  <c r="AL117" i="1"/>
  <c r="AL97" i="1"/>
  <c r="AL78" i="1"/>
  <c r="AL58" i="1"/>
  <c r="AL38" i="1"/>
  <c r="AL18" i="1"/>
  <c r="AL2" i="1"/>
  <c r="AL211" i="1"/>
  <c r="AL191" i="1"/>
  <c r="AL171" i="1"/>
  <c r="AL151" i="1"/>
  <c r="AL131" i="1"/>
  <c r="AL111" i="1"/>
  <c r="AL91" i="1"/>
  <c r="AL72" i="1"/>
  <c r="AL52" i="1"/>
  <c r="AL32" i="1"/>
  <c r="AL12" i="1"/>
  <c r="AL230" i="1"/>
  <c r="AL210" i="1"/>
  <c r="AL190" i="1"/>
  <c r="AL170" i="1"/>
  <c r="AL150" i="1"/>
  <c r="AL130" i="1"/>
  <c r="AL110" i="1"/>
  <c r="AL90" i="1"/>
  <c r="AL71" i="1"/>
  <c r="AL51" i="1"/>
  <c r="AL31" i="1"/>
  <c r="AL11" i="1"/>
  <c r="AE209" i="1"/>
  <c r="AL186" i="1"/>
  <c r="AL126" i="1"/>
  <c r="AL67" i="1"/>
  <c r="AL7" i="1"/>
  <c r="AE106" i="1"/>
  <c r="AE86" i="1"/>
  <c r="AL225" i="1"/>
  <c r="AL205" i="1"/>
  <c r="AL185" i="1"/>
  <c r="AL165" i="1"/>
  <c r="AL145" i="1"/>
  <c r="AL125" i="1"/>
  <c r="AL105" i="1"/>
  <c r="AL85" i="1"/>
  <c r="AL66" i="1"/>
  <c r="AL46" i="1"/>
  <c r="AL26" i="1"/>
  <c r="AL6" i="1"/>
  <c r="AE5" i="1"/>
  <c r="AL169" i="1"/>
  <c r="AL129" i="1"/>
  <c r="AL89" i="1"/>
  <c r="AL30" i="1"/>
  <c r="AE189" i="1"/>
  <c r="AE149" i="1"/>
  <c r="AE109" i="1"/>
  <c r="AE70" i="1"/>
  <c r="AE10" i="1"/>
  <c r="AL228" i="1"/>
  <c r="AL188" i="1"/>
  <c r="AL148" i="1"/>
  <c r="AL108" i="1"/>
  <c r="AL69" i="1"/>
  <c r="AL29" i="1"/>
  <c r="AE9" i="1"/>
  <c r="AL226" i="1"/>
  <c r="AL166" i="1"/>
  <c r="AL47" i="1"/>
  <c r="AE146" i="1"/>
  <c r="AL204" i="1"/>
  <c r="AL184" i="1"/>
  <c r="AL144" i="1"/>
  <c r="AL124" i="1"/>
  <c r="AL104" i="1"/>
  <c r="AL84" i="1"/>
  <c r="AL45" i="1"/>
  <c r="AL25" i="1"/>
  <c r="AE224" i="1"/>
  <c r="AE164" i="1"/>
  <c r="AE65" i="1"/>
  <c r="AL223" i="1"/>
  <c r="AL203" i="1"/>
  <c r="AL183" i="1"/>
  <c r="AL163" i="1"/>
  <c r="AL143" i="1"/>
  <c r="AL123" i="1"/>
  <c r="AL103" i="1"/>
  <c r="AL83" i="1"/>
  <c r="AL64" i="1"/>
  <c r="AL44" i="1"/>
  <c r="AL24" i="1"/>
  <c r="AL4" i="1"/>
  <c r="AL229" i="1"/>
  <c r="AL50" i="1"/>
  <c r="AL208" i="1"/>
  <c r="AL168" i="1"/>
  <c r="AL128" i="1"/>
  <c r="AL88" i="1"/>
  <c r="AL49" i="1"/>
  <c r="AL206" i="1"/>
  <c r="AL27" i="1"/>
  <c r="AL222" i="1"/>
  <c r="AL202" i="1"/>
  <c r="AL182" i="1"/>
  <c r="AL162" i="1"/>
  <c r="AL142" i="1"/>
  <c r="AL122" i="1"/>
  <c r="AL102" i="1"/>
  <c r="AL82" i="1"/>
  <c r="AL63" i="1"/>
  <c r="AL43" i="1"/>
  <c r="AL23" i="1"/>
  <c r="A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Robert Coelho Pinto</author>
  </authors>
  <commentList>
    <comment ref="AH13" authorId="0" shapeId="0" xr:uid="{3B5AFF47-C280-4E39-AB1B-C6D2EB60F622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259</t>
        </r>
      </text>
    </comment>
    <comment ref="AI13" authorId="0" shapeId="0" xr:uid="{2FF434B3-DAF4-48F3-A5DE-10AB43190F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H14" authorId="0" shapeId="0" xr:uid="{2F8908EF-DE89-4FA7-B46D-D26F074DBE4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259</t>
        </r>
      </text>
    </comment>
    <comment ref="AI14" authorId="0" shapeId="0" xr:uid="{CE499E00-E566-4EAE-911B-8BE3882BB28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J27" authorId="0" shapeId="0" xr:uid="{B816C2B8-3BAE-4CE8-810C-156596C99565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>Antes era 530</t>
        </r>
      </text>
    </comment>
    <comment ref="AM27" authorId="0" shapeId="0" xr:uid="{FDEC7413-8BE0-492A-9D9B-89E9612598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Valor antes 145.834</t>
        </r>
      </text>
    </comment>
    <comment ref="AB28" authorId="0" shapeId="0" xr:uid="{C72934C5-888D-402A-80DC-90A566A9B2A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224.990</t>
        </r>
      </text>
    </comment>
    <comment ref="AI28" authorId="0" shapeId="0" xr:uid="{D386192F-3337-4F3D-8E41-C71CF0FEB5E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774</t>
        </r>
      </text>
    </comment>
    <comment ref="AJ28" authorId="0" shapeId="0" xr:uid="{EEACD062-EF02-4171-8FA1-92BD95FA461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</t>
        </r>
      </text>
    </comment>
    <comment ref="AM28" authorId="0" shapeId="0" xr:uid="{2E7B6035-4B7C-4846-A168-D54D751275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154.063</t>
        </r>
      </text>
    </comment>
    <comment ref="AJ29" authorId="0" shapeId="0" xr:uid="{9AA7F48B-4396-4A9F-9E6E-EEA009B39CA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M29" authorId="0" shapeId="0" xr:uid="{52B42670-C429-4CFF-9189-914DDD5CAE8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145.750</t>
        </r>
      </text>
    </comment>
    <comment ref="AM31" authorId="0" shapeId="0" xr:uid="{E36F81E9-3C8E-4110-B20B-A04AE7CA31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2" authorId="0" shapeId="0" xr:uid="{E56F60E8-82D3-44BD-9841-BA272CDF154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3" authorId="0" shapeId="0" xr:uid="{02D7AC70-7D80-4E45-AA04-FD895698E20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4" authorId="0" shapeId="0" xr:uid="{97387152-129A-483D-B592-E369050F6A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5" authorId="0" shapeId="0" xr:uid="{4E5F4025-22D1-441B-A5CC-3D9B91BB3C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6" authorId="0" shapeId="0" xr:uid="{8E738250-4678-49E2-90BE-2215D3E443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7" authorId="0" shapeId="0" xr:uid="{6280D843-8538-42D3-9927-8C9848BA945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8" authorId="0" shapeId="0" xr:uid="{86234F2B-4F32-4B7F-A0C5-BF653E48205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39" authorId="0" shapeId="0" xr:uid="{AD9C32EA-5A69-4374-81C7-1AFEE4A2D7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40" authorId="0" shapeId="0" xr:uid="{46D48BFC-0556-4556-AB10-5EFB46AF090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41" authorId="0" shapeId="0" xr:uid="{2D6BD161-FEC5-4E03-81AC-8E948625C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42" authorId="0" shapeId="0" xr:uid="{861BA18B-B0D7-467A-B95D-EDAD31606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43" authorId="0" shapeId="0" xr:uid="{683FA6A3-B745-4B2D-85FE-46970E630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M44" authorId="0" shapeId="0" xr:uid="{2A7DC327-27E8-4D3C-A2DF-13D4102AA1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J45" authorId="0" shapeId="0" xr:uid="{05BE4E58-236E-4D1D-910B-46F32518BF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M45" authorId="0" shapeId="0" xr:uid="{71EFE490-EA5D-4CB8-A88E-BD6DD3FDC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159.099</t>
        </r>
      </text>
    </comment>
    <comment ref="B46" authorId="0" shapeId="0" xr:uid="{23A7B005-C0E5-44DD-9111-134434915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Na planilha da regional tem a informação geral e na planilha da controladoria está o valor da área dividida em etapas I e II. Quantidade de lotes estão divergente.</t>
        </r>
      </text>
    </comment>
    <comment ref="AB50" authorId="0" shapeId="0" xr:uid="{81663C54-3D0E-4D6E-A8ED-5225FBBBB59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178.861</t>
        </r>
      </text>
    </comment>
    <comment ref="AH50" authorId="0" shapeId="0" xr:uid="{E6FE3473-1EE4-47B0-878F-16AE420015D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I50" authorId="0" shapeId="0" xr:uid="{74DF9236-07EA-40D1-A999-CE49BBDE091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706</t>
        </r>
      </text>
    </comment>
    <comment ref="AJ50" authorId="0" shapeId="0" xr:uid="{4026787B-FB15-41A8-A982-30D11A6083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M50" authorId="0" shapeId="0" xr:uid="{A4B14D2C-09F6-4800-B43C-53A0882119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141.780</t>
        </r>
      </text>
    </comment>
    <comment ref="AB51" authorId="0" shapeId="0" xr:uid="{7E7FFC8F-96BD-40F9-89D3-C82210C3D55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30.226</t>
        </r>
      </text>
    </comment>
    <comment ref="AH51" authorId="0" shapeId="0" xr:uid="{F7C4118A-15D6-43BD-B7A7-7F7549CCFD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242</t>
        </r>
      </text>
    </comment>
    <comment ref="AI51" authorId="0" shapeId="0" xr:uid="{1963F90F-204A-45DA-B1A2-4F915C25D6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1.253</t>
        </r>
      </text>
    </comment>
    <comment ref="AJ51" authorId="0" shapeId="0" xr:uid="{D420C7F6-6C70-446E-934C-2BE2F10A398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M51" authorId="0" shapeId="0" xr:uid="{F1114D5E-105C-4C9A-8D2D-00E80134BE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133.100</t>
        </r>
      </text>
    </comment>
    <comment ref="AJ52" authorId="0" shapeId="0" xr:uid="{4D52890C-95FC-4E11-9C6D-9C2192D66A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</t>
        </r>
      </text>
    </comment>
    <comment ref="AM52" authorId="0" shapeId="0" xr:uid="{5F8F761F-4909-4653-9110-7F788D6013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62.917</t>
        </r>
      </text>
    </comment>
    <comment ref="AJ53" authorId="0" shapeId="0" xr:uid="{EF95B317-AA2A-45A4-98F2-A5B516430A2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 e passou para 350</t>
        </r>
      </text>
    </comment>
    <comment ref="AM53" authorId="0" shapeId="0" xr:uid="{806B2EF8-58ED-4419-89AE-A917DC6C3F8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63.047</t>
        </r>
      </text>
    </comment>
    <comment ref="AB55" authorId="0" shapeId="0" xr:uid="{C3819C3B-0C4F-4168-8CE2-577D69F395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200.045</t>
        </r>
      </text>
    </comment>
    <comment ref="AH55" authorId="0" shapeId="0" xr:uid="{C72FAE47-6B69-444C-9A51-A4F280C4C9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268</t>
        </r>
      </text>
    </comment>
    <comment ref="AI55" authorId="0" shapeId="0" xr:uid="{9E4C5FE6-6C5A-446F-AB72-7A79D3E2E6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747</t>
        </r>
      </text>
    </comment>
    <comment ref="AJ55" authorId="0" shapeId="0" xr:uid="{CB0D4EFC-CF60-4788-8E61-5230E34677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55" authorId="0" shapeId="0" xr:uid="{A888F085-7EE3-4125-8DE5-5D0BB892B0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130.942</t>
        </r>
      </text>
    </comment>
    <comment ref="AB57" authorId="0" shapeId="0" xr:uid="{38825BCF-6B78-4911-A892-5B5ED13638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396.000</t>
        </r>
      </text>
    </comment>
    <comment ref="AH57" authorId="0" shapeId="0" xr:uid="{3BD1B2A8-6DAE-457F-B981-0EF6B482618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I57" authorId="0" shapeId="0" xr:uid="{D344B7EA-73C0-400B-A3D4-2439B286A79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1.760</t>
        </r>
      </text>
    </comment>
    <comment ref="AJ57" authorId="0" shapeId="0" xr:uid="{FBA6CB20-A5B2-4C6D-A4C3-DDE270A712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57" authorId="0" shapeId="0" xr:uid="{D5E60321-E52D-4875-BBA9-601ABA7A291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112.485</t>
        </r>
      </text>
    </comment>
    <comment ref="AJ59" authorId="0" shapeId="0" xr:uid="{A99EBBC9-D16A-4065-9A3E-3AC6D77B5D1E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650</t>
        </r>
      </text>
    </comment>
    <comment ref="AH62" authorId="0" shapeId="0" xr:uid="{0FD269F3-0690-4E97-8348-6A36C8203F9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274</t>
        </r>
      </text>
    </comment>
    <comment ref="AH63" authorId="0" shapeId="0" xr:uid="{F56DA1CC-4261-4852-A246-7B3F66AC7B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H64" authorId="0" shapeId="0" xr:uid="{75B5BDED-DBBF-4EEB-9EE9-406416F38F1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H65" authorId="0" shapeId="0" xr:uid="{DC659D9E-4FEB-409D-B570-3A194385B78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B70" authorId="0" shapeId="0" xr:uid="{396DC668-D347-43EB-A6FF-FF7044E586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22.000</t>
        </r>
      </text>
    </comment>
    <comment ref="AH70" authorId="0" shapeId="0" xr:uid="{1F25B37C-917E-4153-9C9A-2BE187AD24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J70" authorId="0" shapeId="0" xr:uid="{E80CEA6D-779B-422B-A73C-647952654D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M70" authorId="0" shapeId="0" xr:uid="{39B25E71-7E5F-4196-BE2F-1244DF5162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113.203</t>
        </r>
      </text>
    </comment>
    <comment ref="AB71" authorId="0" shapeId="0" xr:uid="{C938C0F0-D6FE-40AA-8C06-33F231CB992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19.500</t>
        </r>
      </text>
    </comment>
    <comment ref="AH71" authorId="0" shapeId="0" xr:uid="{A2E8B781-89D0-4F51-9779-1D071D7D4C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J71" authorId="0" shapeId="0" xr:uid="{6A05AA0E-98BB-48E1-8545-27E1C3C1267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M71" authorId="0" shapeId="0" xr:uid="{1D281500-EEB5-4BA3-A5C1-9F79B3D461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B72" authorId="0" shapeId="0" xr:uid="{F0C6A385-02B8-41CA-8169-E27BBDBF09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186.732</t>
        </r>
      </text>
    </comment>
    <comment ref="AH72" authorId="0" shapeId="0" xr:uid="{03AFF144-1DCD-4162-A551-0382C7A34A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J72" authorId="0" shapeId="0" xr:uid="{3140D8D1-FDD4-4CE5-8268-DB9DEFF4C3C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M72" authorId="0" shapeId="0" xr:uid="{34B2DA3F-CEE8-4998-B9EF-C5325378F5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B73" authorId="0" shapeId="0" xr:uid="{0B1AE9CC-EE89-4009-B28B-183051C261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H73" authorId="0" shapeId="0" xr:uid="{4F8EE899-27AB-40D8-85C7-25A3A61B711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J73" authorId="0" shapeId="0" xr:uid="{6492AF3B-DE83-44EE-92B2-667CFF4F0CC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M73" authorId="0" shapeId="0" xr:uid="{D6FDFDBC-F266-4970-86E9-98F35BF0D5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AB74" authorId="0" shapeId="0" xr:uid="{84821BB7-D993-45B6-BBA2-ADD3AF59BD9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H74" authorId="0" shapeId="0" xr:uid="{7E777AB3-E7B4-4C23-B7F8-A2AA436262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J74" authorId="0" shapeId="0" xr:uid="{8C2CF8F0-D054-435C-9519-DBF790CBB7E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M74" authorId="0" shapeId="0" xr:uid="{30B39196-9C0A-4B25-9A86-66969334AE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Q78" authorId="0" shapeId="0" xr:uid="{E744649A-CE9F-4BBE-A1BF-D19FFEAE95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Estava com lançamento em 2032 e mudei para 2030</t>
        </r>
      </text>
    </comment>
    <comment ref="AH87" authorId="0" shapeId="0" xr:uid="{C12CC61E-AD39-4E2C-8654-8DC868295C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230</t>
        </r>
      </text>
    </comment>
    <comment ref="AI87" authorId="0" shapeId="0" xr:uid="{A53B0A96-E2E3-4F98-9A07-3B1CDCA42D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1.140</t>
        </r>
      </text>
    </comment>
    <comment ref="AI130" authorId="0" shapeId="0" xr:uid="{54564007-E7C3-43B4-9BDB-EB251BA8F7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1.009</t>
        </r>
      </text>
    </comment>
    <comment ref="AB137" authorId="0" shapeId="0" xr:uid="{D9E6F80A-A8D5-4EBB-B128-5142EAC01E1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130.187</t>
        </r>
      </text>
    </comment>
    <comment ref="AH137" authorId="0" shapeId="0" xr:uid="{CF2E85D7-9058-4D81-A3EC-4E5E0898567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I137" authorId="0" shapeId="0" xr:uid="{143A7C47-FF30-49A4-B13F-168291710E4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592</t>
        </r>
      </text>
    </comment>
    <comment ref="AJ137" authorId="0" shapeId="0" xr:uid="{7D7D2CDD-F7FC-46C8-AC11-CDC3475082D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M137" authorId="0" shapeId="0" xr:uid="{5DF3C658-1FFD-4638-A6A4-870E67B5F9C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120.951</t>
        </r>
      </text>
    </comment>
    <comment ref="AJ138" authorId="0" shapeId="0" xr:uid="{CE1CCA6D-D064-45CF-A186-0F0CFBAFC3ED}">
      <text>
        <r>
          <rPr>
            <b/>
            <sz val="9"/>
            <color indexed="81"/>
            <rFont val="Segoe UI"/>
            <family val="2"/>
          </rPr>
          <t>Erick Robert Coelho Pinto
antes 550</t>
        </r>
      </text>
    </comment>
    <comment ref="AM138" authorId="0" shapeId="0" xr:uid="{0BB28901-DECE-4145-BF0D-79B9816B05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120.953</t>
        </r>
      </text>
    </comment>
    <comment ref="AB139" authorId="0" shapeId="0" xr:uid="{4FB6EE78-2904-433F-9BA7-AC19717369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57.200</t>
        </r>
      </text>
    </comment>
    <comment ref="AH139" authorId="0" shapeId="0" xr:uid="{B8C40975-DB76-4DB4-BE9B-B0853076427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260</t>
        </r>
      </text>
    </comment>
    <comment ref="AI139" authorId="0" shapeId="0" xr:uid="{5150C033-E29E-47FA-BF81-A8728FAAD16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J139" authorId="0" shapeId="0" xr:uid="{0EE76BF1-6C01-42D8-9E8F-6CCBFD9909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M139" authorId="0" shapeId="0" xr:uid="{BD047D7C-C8F0-4172-934F-D94CBEEAF8F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J140" authorId="0" shapeId="0" xr:uid="{EBFE5725-2151-4BA3-8F6A-E18946EDD824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550</t>
        </r>
      </text>
    </comment>
    <comment ref="AM140" authorId="0" shapeId="0" xr:uid="{6079DD70-C618-4446-BEDA-823E4B9B700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H141" authorId="0" shapeId="0" xr:uid="{61152C7D-BC59-47CD-88D5-D1BB6D63E3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H142" authorId="0" shapeId="0" xr:uid="{525E319A-C106-4AD7-B1D4-B2C976997B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I142" authorId="0" shapeId="0" xr:uid="{73FF64CF-7ED6-493C-998F-E034A8AFFC0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1.190</t>
        </r>
      </text>
    </comment>
    <comment ref="AJ146" authorId="0" shapeId="0" xr:uid="{B6404B10-EA40-4EB6-8BD3-725D018BF7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M146" authorId="0" shapeId="0" xr:uid="{5EBBEFEC-71F3-4336-BEF2-3F844703FF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185.133</t>
        </r>
      </text>
    </comment>
    <comment ref="AJ147" authorId="0" shapeId="0" xr:uid="{8DAA5058-0256-4511-9723-B08100BE7E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M147" authorId="0" shapeId="0" xr:uid="{DE18BA86-3CDE-4860-9ECF-D423E0B806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J148" authorId="0" shapeId="0" xr:uid="{26574F76-9FC9-4953-8AC7-557256DE90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M148" authorId="0" shapeId="0" xr:uid="{A4947C4A-BEEA-4DB1-A50D-D3AA3E7B1DE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B153" authorId="0" shapeId="0" xr:uid="{F0E4EBD0-8D34-450A-8F73-0DC05E6EA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132.989</t>
        </r>
      </text>
    </comment>
    <comment ref="AH153" authorId="0" shapeId="0" xr:uid="{CFA21B01-9BBF-4167-8D4D-ECA99E18882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134</t>
        </r>
      </text>
    </comment>
    <comment ref="AI153" authorId="0" shapeId="0" xr:uid="{7ADA1B73-150E-403E-BFFE-98B47F012C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1.089</t>
        </r>
      </text>
    </comment>
    <comment ref="AM153" authorId="0" shapeId="0" xr:uid="{440D67F0-8AF5-4E50-8535-F8CCEC549A4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94.032</t>
        </r>
      </text>
    </comment>
    <comment ref="B154" authorId="0" shapeId="0" xr:uid="{82F862F8-733C-4CC4-93E9-B5ABEFE549C4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 xml:space="preserve">na planilha da regional tem 3b e na planilha da matriz tem 3c verificar qual nomenclatura é a correta </t>
        </r>
      </text>
    </comment>
    <comment ref="AB154" authorId="0" shapeId="0" xr:uid="{A741BA05-2277-4BDD-85EA-1D4BED63D13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185.000</t>
        </r>
      </text>
    </comment>
    <comment ref="AI154" authorId="0" shapeId="0" xr:uid="{7D40E370-8B34-42B0-A605-ECEC5BE5859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1.027</t>
        </r>
      </text>
    </comment>
    <comment ref="AM154" authorId="0" shapeId="0" xr:uid="{87E48A2D-388C-4FD9-948A-2B575B5EF3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126.095</t>
        </r>
      </text>
    </comment>
    <comment ref="AI156" authorId="0" shapeId="0" xr:uid="{82379BEA-312D-40E2-88ED-FFC6792ED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J156" authorId="0" shapeId="0" xr:uid="{A2DB11D4-309A-45D1-9112-EFA01C69EA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1.100</t>
        </r>
      </text>
    </comment>
    <comment ref="AH158" authorId="0" shapeId="0" xr:uid="{21464208-57F0-4C73-BB6D-53ACD0EAA5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323</t>
        </r>
      </text>
    </comment>
    <comment ref="AI158" authorId="0" shapeId="0" xr:uid="{DA04B798-FB26-4FFA-B0E4-B3B9ADA738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319
</t>
        </r>
      </text>
    </comment>
    <comment ref="AJ158" authorId="0" shapeId="0" xr:uid="{5C2791BA-D3C6-434E-B0BF-893A85DE69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M158" authorId="0" shapeId="0" xr:uid="{0AD2C5D4-568A-44DB-A4A9-722F34D9771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209,808</t>
        </r>
      </text>
    </comment>
    <comment ref="AJ159" authorId="0" shapeId="0" xr:uid="{10D4BF82-1FE4-4540-9E02-4723E5FDDE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M159" authorId="0" shapeId="0" xr:uid="{6E5B27B3-CADC-41C0-A09F-DD92147F7C5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204.199</t>
        </r>
      </text>
    </comment>
    <comment ref="AI160" authorId="0" shapeId="0" xr:uid="{8717B46A-4CFF-43B0-820B-95AE24786B6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509</t>
        </r>
      </text>
    </comment>
    <comment ref="AM160" authorId="0" shapeId="0" xr:uid="{57595505-6710-47CF-BB63-9E668B2E86F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205.721</t>
        </r>
      </text>
    </comment>
    <comment ref="AH162" authorId="0" shapeId="0" xr:uid="{08A2C879-4A8C-47C9-A673-2080BDDC8E7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325</t>
        </r>
      </text>
    </comment>
    <comment ref="AI162" authorId="0" shapeId="0" xr:uid="{23FCA918-5249-4C5A-B80A-18E2AB82460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313</t>
        </r>
      </text>
    </comment>
    <comment ref="AM162" authorId="0" shapeId="0" xr:uid="{AA66A884-D804-45F9-A124-382C604ADE0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487.144</t>
        </r>
      </text>
    </comment>
    <comment ref="AH164" authorId="0" shapeId="0" xr:uid="{49276C08-604B-4539-B321-A5A3C129D3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335</t>
        </r>
      </text>
    </comment>
    <comment ref="AI164" authorId="0" shapeId="0" xr:uid="{B54F9B74-A8CF-4A5A-ABD0-23233DAF1B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815</t>
        </r>
      </text>
    </comment>
    <comment ref="AJ165" authorId="0" shapeId="0" xr:uid="{8BA46198-BBC3-4BEA-AE66-A6A6BC6F855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M165" authorId="0" shapeId="0" xr:uid="{E682A0FD-A1ED-4318-A6A7-096E61DD8D0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324.544</t>
        </r>
      </text>
    </comment>
    <comment ref="AJ166" authorId="0" shapeId="0" xr:uid="{66189018-4ABE-4E1C-A9E7-80149B354BD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M166" authorId="0" shapeId="0" xr:uid="{8E775417-75E2-4CD5-8957-1291848D72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281.793</t>
        </r>
      </text>
    </comment>
    <comment ref="AJ167" authorId="0" shapeId="0" xr:uid="{97F9606C-2ED4-42E8-AF00-9CA990904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M167" authorId="0" shapeId="0" xr:uid="{60C58D56-4E02-4501-92FD-BC4D4B1078B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231.397</t>
        </r>
      </text>
    </comment>
    <comment ref="AJ168" authorId="0" shapeId="0" xr:uid="{A54F9E32-2F9D-4577-9355-F06EA7DF5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M168" authorId="0" shapeId="0" xr:uid="{9EACC149-8F8A-4747-9795-9F2309B92B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312.611</t>
        </r>
      </text>
    </comment>
    <comment ref="AB169" authorId="0" shapeId="0" xr:uid="{2C9932D2-D15A-4BD1-AA7A-740FC045308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98.000</t>
        </r>
      </text>
    </comment>
    <comment ref="AH169" authorId="0" shapeId="0" xr:uid="{F1A43E99-FE82-405C-B48E-4C5758341C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450</t>
        </r>
      </text>
    </comment>
    <comment ref="AI169" authorId="0" shapeId="0" xr:uid="{C4805D10-50A7-4D16-AF18-FFBB0879818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218</t>
        </r>
      </text>
    </comment>
    <comment ref="AM169" authorId="0" shapeId="0" xr:uid="{0FD041D8-958E-4C6A-831E-DA7B5E7016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449.541</t>
        </r>
      </text>
    </comment>
    <comment ref="AH177" authorId="0" shapeId="0" xr:uid="{6A7F28F6-4143-4EED-BCA0-B9F9C222E29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369</t>
        </r>
      </text>
    </comment>
    <comment ref="AI177" authorId="0" shapeId="0" xr:uid="{822FDD60-A100-4D3E-903B-A29B4EDAFD2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896</t>
        </r>
      </text>
    </comment>
    <comment ref="AB178" authorId="0" shapeId="0" xr:uid="{D090A27E-ABE8-49BC-81C4-6EAFF542483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81.040</t>
        </r>
      </text>
    </comment>
    <comment ref="AH178" authorId="0" shapeId="0" xr:uid="{05CF4C02-4345-4A45-912C-4F319B2371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1.013</t>
        </r>
      </text>
    </comment>
    <comment ref="AI178" authorId="0" shapeId="0" xr:uid="{45BC5696-EA34-431B-B743-662B4D215F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80</t>
        </r>
      </text>
    </comment>
    <comment ref="AM178" authorId="0" shapeId="0" xr:uid="{9F52256B-E196-4DFF-BF5E-6D7BB033D2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911.700</t>
        </r>
      </text>
    </comment>
    <comment ref="AH181" authorId="0" shapeId="0" xr:uid="{3BEAD55A-CFA4-49F2-B2FF-90B57F7576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I181" authorId="0" shapeId="0" xr:uid="{105AEABA-E506-469A-9021-E4B22373F3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1.200</t>
        </r>
      </text>
    </comment>
    <comment ref="AB182" authorId="0" shapeId="0" xr:uid="{60FCAC3F-50BB-4B3E-B946-670465C69C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I182" authorId="0" shapeId="0" xr:uid="{EE954601-4C77-49E8-8803-0E0BEFB2C6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B183" authorId="0" shapeId="0" xr:uid="{F474377B-03AC-4DC9-9069-CA104C95184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I183" authorId="0" shapeId="0" xr:uid="{95771FF2-9B1A-4F31-996A-A0E0476C7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
</t>
        </r>
      </text>
    </comment>
    <comment ref="AB184" authorId="0" shapeId="0" xr:uid="{39455F12-B837-4AEE-95EE-2A9E31D12A8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I184" authorId="0" shapeId="0" xr:uid="{5DE3A328-648B-465A-BB0E-805016AEC5A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B186" authorId="0" shapeId="0" xr:uid="{7C97543F-AB55-4267-AD1C-E325C75E77F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413.418</t>
        </r>
      </text>
    </comment>
    <comment ref="AH186" authorId="0" shapeId="0" xr:uid="{5A2F46FA-7284-4A05-88AD-840E8157A9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330</t>
        </r>
      </text>
    </comment>
    <comment ref="AI186" authorId="0" shapeId="0" xr:uid="{5E3B8188-94DC-4459-9A05-276DE0137E3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1.252</t>
        </r>
      </text>
    </comment>
    <comment ref="AM186" authorId="0" shapeId="0" xr:uid="{5948CF6F-71AE-431C-9BB3-965BBA7B11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198.124</t>
        </r>
      </text>
    </comment>
    <comment ref="AH188" authorId="0" shapeId="0" xr:uid="{80C3582D-F0AE-4EBC-9588-8D85CDEADCA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</t>
        </r>
      </text>
    </comment>
    <comment ref="AB191" authorId="0" shapeId="0" xr:uid="{B6FAD66D-8C7D-46F1-90B7-60B016B275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
</t>
        </r>
      </text>
    </comment>
    <comment ref="AH191" authorId="0" shapeId="0" xr:uid="{CA9348DE-BEDB-4599-9303-CD2D0A79AC4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M191" authorId="0" shapeId="0" xr:uid="{4BC5CE2D-9C75-4B3F-9E98-10C7A3E529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AB192" authorId="0" shapeId="0" xr:uid="{25EC11C3-5E7A-4C8C-848F-32085FDBD87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</t>
        </r>
      </text>
    </comment>
    <comment ref="AH192" authorId="0" shapeId="0" xr:uid="{A8B73624-009E-46FF-89C5-CD998ED467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M192" authorId="0" shapeId="0" xr:uid="{382B4EC9-106E-4E3E-AE0E-7FBCC2B1DA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N193" authorId="0" shapeId="0" xr:uid="{B0577FC8-B766-476A-8460-E4657300B79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94" authorId="0" shapeId="0" xr:uid="{2B0A4721-032E-4DD4-B2CE-40BBBE2DB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95" authorId="0" shapeId="0" xr:uid="{63AF587C-48AC-4F8A-B8F1-C0271D31D2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96" authorId="0" shapeId="0" xr:uid="{5F330CA9-2C3E-48B1-9684-70B68C6451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97" authorId="0" shapeId="0" xr:uid="{C471EB6C-9A43-486C-B609-9B90D065C78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98" authorId="0" shapeId="0" xr:uid="{CF8E21DC-1C2F-4C57-BE1C-038D73D384F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99" authorId="0" shapeId="0" xr:uid="{BFE3F5D9-C2CC-4D52-AF53-89428D8EAC4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200" authorId="0" shapeId="0" xr:uid="{FBB3F702-B8F5-4514-BD69-BD073E0D9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B201" authorId="0" shapeId="0" xr:uid="{89858942-B14A-4B22-B46A-9CA2AFDB5E2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H201" authorId="0" shapeId="0" xr:uid="{09C0963F-2291-4881-8A6B-57F02C9ED9C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235</t>
        </r>
      </text>
    </comment>
    <comment ref="AJ201" authorId="0" shapeId="0" xr:uid="{F8397D49-A8C1-4CAB-BBFF-0641C736FA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201" authorId="0" shapeId="0" xr:uid="{E8514476-F654-4FE8-AB6B-2955443AAE5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117.604</t>
        </r>
      </text>
    </comment>
    <comment ref="AB202" authorId="0" shapeId="0" xr:uid="{B97E80DF-58BE-4045-9CEA-CFDB7C49BD3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H202" authorId="0" shapeId="0" xr:uid="{660999A7-9EA1-44BB-82BE-6F191F53A31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J202" authorId="0" shapeId="0" xr:uid="{EE308983-5E2A-4595-A054-81B2FC27958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202" authorId="0" shapeId="0" xr:uid="{F4AAF5B9-DF05-4557-BBFA-DB6DE07928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117.767</t>
        </r>
      </text>
    </comment>
    <comment ref="AB203" authorId="0" shapeId="0" xr:uid="{B2A019D0-A6E0-46DB-BF6A-CF4BF7C5AC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240.277</t>
        </r>
      </text>
    </comment>
    <comment ref="AH203" authorId="0" shapeId="0" xr:uid="{7DEAD820-7844-44C7-8ADB-D4C0A000F7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J203" authorId="0" shapeId="0" xr:uid="{837240D6-98C3-4DAC-A08A-027ED2C83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203" authorId="0" shapeId="0" xr:uid="{96110B2E-0FD7-418B-941B-02D654F704A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107.267</t>
        </r>
      </text>
    </comment>
    <comment ref="AB204" authorId="0" shapeId="0" xr:uid="{495DB87A-4D4F-4417-A871-FED727865E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222.525</t>
        </r>
      </text>
    </comment>
    <comment ref="AH204" authorId="0" shapeId="0" xr:uid="{B958F7FE-9A34-42FB-984E-01A433554DB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I204" authorId="0" shapeId="0" xr:uid="{9AD0829B-CBF8-450D-830D-CD7FEAD0869D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1.378 
na planilha do Zefera é 1.035</t>
        </r>
      </text>
    </comment>
    <comment ref="AJ204" authorId="0" shapeId="0" xr:uid="{FEA0416D-8261-4629-B3B8-76E78699729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204" authorId="0" shapeId="0" xr:uid="{0F3E7E15-539A-48AD-A2E4-388C336C139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107.500</t>
        </r>
      </text>
    </comment>
    <comment ref="L205" authorId="0" shapeId="0" xr:uid="{D1BD0FFD-A3FD-4285-8F62-1BFA26750D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Tangará da Serra na planilha de Zefera tem uma área para o Residencial Parque Jardim. As informações não batem com essa planilha.</t>
        </r>
      </text>
    </comment>
    <comment ref="AH205" authorId="0" shapeId="0" xr:uid="{C5BE1956-48A6-48F6-8A53-870E12049BC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I205" authorId="0" shapeId="0" xr:uid="{719AFBCB-A1CE-4792-AFC2-EA0785B44E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918</t>
        </r>
      </text>
    </comment>
    <comment ref="AH206" authorId="0" shapeId="0" xr:uid="{0D31C0EF-4DAE-417E-8D41-9666C09BA6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I206" authorId="0" shapeId="0" xr:uid="{DE39985A-C981-4856-A3D0-726F030B59A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917</t>
        </r>
      </text>
    </comment>
    <comment ref="AB214" authorId="0" shapeId="0" xr:uid="{44B8E681-5D24-470F-9F44-0C17C46BA0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271.959</t>
        </r>
      </text>
    </comment>
    <comment ref="AI214" authorId="0" shapeId="0" xr:uid="{098B79E8-D280-435B-9310-3E9412AC973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ates estava 835 na planilha do Zefera é 755</t>
        </r>
      </text>
    </comment>
    <comment ref="AJ214" authorId="0" shapeId="0" xr:uid="{41C2EDAF-73DF-4C68-AF1C-DC4907EB24F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1.500</t>
        </r>
      </text>
    </comment>
    <comment ref="AM214" authorId="0" shapeId="0" xr:uid="{EC768AA2-1271-4132-B4D9-C90A9D65C6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540.316
</t>
        </r>
      </text>
    </comment>
    <comment ref="AB215" authorId="0" shapeId="0" xr:uid="{DCDCF6ED-972E-4037-9AEC-593000B12BE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226.990</t>
        </r>
      </text>
    </comment>
    <comment ref="AH215" authorId="0" shapeId="0" xr:uid="{F0F45C97-67DF-4F4E-A150-3B18AEFD6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219</t>
        </r>
      </text>
    </comment>
    <comment ref="AJ215" authorId="0" shapeId="0" xr:uid="{7E9A7101-96AF-4D5C-A590-9C92029A1C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215" authorId="0" shapeId="0" xr:uid="{9591FE1D-9B20-4A9A-9F6C-7F9A820F254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109.657</t>
        </r>
      </text>
    </comment>
    <comment ref="AB216" authorId="0" shapeId="0" xr:uid="{CF47C7AA-99CD-42D3-B403-C3B72DC978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H216" authorId="0" shapeId="0" xr:uid="{5A0654E2-8D4A-408A-BFA3-9B16D99836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I216" authorId="0" shapeId="0" xr:uid="{EE81DEAC-F21F-42BD-9CA5-39C9DAA68F1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J216" authorId="0" shapeId="0" xr:uid="{42112C8C-1BC7-4B06-8B27-809CC41DA7F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M216" authorId="0" shapeId="0" xr:uid="{A507FECD-5A82-4897-A1D1-4C4426AA70B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  <comment ref="AB217" authorId="0" shapeId="0" xr:uid="{BE674A48-5F63-40C4-9D29-1454841D12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328.198</t>
        </r>
      </text>
    </comment>
    <comment ref="AH217" authorId="0" shapeId="0" xr:uid="{1E091FA5-451B-413C-9387-B25EE564DA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253</t>
        </r>
      </text>
    </comment>
    <comment ref="AI217" authorId="0" shapeId="0" xr:uid="{402275D9-8391-4FD0-BC4E-423413CCC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1.304</t>
        </r>
      </text>
    </comment>
    <comment ref="AJ217" authorId="0" shapeId="0" xr:uid="{D8155254-CFAD-4B10-A6E8-9D9CE4EBB76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430</t>
        </r>
      </text>
    </comment>
    <comment ref="AM217" authorId="0" shapeId="0" xr:uid="{5B2EA765-DB87-4B9B-AD72-93546CD5CC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107.225</t>
        </r>
      </text>
    </comment>
    <comment ref="B234" authorId="0" shapeId="0" xr:uid="{09431BDC-C726-40EE-9C53-246664E5F8C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ÁREA DA INFRAURB (RAMON)
</t>
        </r>
      </text>
    </comment>
    <comment ref="S234" authorId="0" shapeId="0" xr:uid="{BD4C8BCC-5479-40D4-A436-519D6076C7A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B234" authorId="0" shapeId="0" xr:uid="{C8830282-86CA-4F41-8337-2430E22900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390.020</t>
        </r>
      </text>
    </comment>
    <comment ref="AH234" authorId="0" shapeId="0" xr:uid="{275A53BC-7C40-4D22-9FF7-782608E45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300</t>
        </r>
      </text>
    </comment>
    <comment ref="AI234" authorId="0" shapeId="0" xr:uid="{CE734E69-885C-4E7D-B074-5F73F1295C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1.300</t>
        </r>
      </text>
    </comment>
    <comment ref="S238" authorId="0" shapeId="0" xr:uid="{D2B674E8-F860-41EF-8278-4959668A115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percentual minoritários</t>
        </r>
      </text>
    </comment>
  </commentList>
</comments>
</file>

<file path=xl/sharedStrings.xml><?xml version="1.0" encoding="utf-8"?>
<sst xmlns="http://schemas.openxmlformats.org/spreadsheetml/2006/main" count="2190" uniqueCount="737">
  <si>
    <t>Nome</t>
  </si>
  <si>
    <t>[ON / OFF]</t>
  </si>
  <si>
    <t>Regional</t>
  </si>
  <si>
    <t>Cidade</t>
  </si>
  <si>
    <t>Empreendimento</t>
  </si>
  <si>
    <t>Tipo</t>
  </si>
  <si>
    <t>Year</t>
  </si>
  <si>
    <t>Participação Buriti</t>
  </si>
  <si>
    <t>Participação Terreneiro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</si>
  <si>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</si>
  <si>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</si>
  <si>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</si>
  <si>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</si>
  <si>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</si>
  <si>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Participação de Sócios Minoritários</t>
  </si>
  <si>
    <t>Data de Lançamento</t>
  </si>
  <si>
    <t>Data de Inicio de Construção</t>
  </si>
  <si>
    <t>Custo Total do Terreno
(Pré Rateio - R$mm)</t>
  </si>
  <si>
    <t>Custo Total do Terreno
(% do VGV)</t>
  </si>
  <si>
    <t>Custo de Construção
(Pré Rateio - R$mm)</t>
  </si>
  <si>
    <t>m2 por Unidade</t>
  </si>
  <si>
    <t>Total de Unidades</t>
  </si>
  <si>
    <t>VGV Total
(R$mm)</t>
  </si>
  <si>
    <t>VGV Total
(R$mm) BT</t>
  </si>
  <si>
    <t>NORTE</t>
  </si>
  <si>
    <t>ELDORADO DO CARAJAS</t>
  </si>
  <si>
    <t>A DEFINIR</t>
  </si>
  <si>
    <t>Loteamento</t>
  </si>
  <si>
    <t>-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</si>
  <si>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</si>
  <si>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</si>
  <si>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</si>
  <si>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</si>
  <si>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</si>
  <si>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</si>
  <si>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</si>
  <si>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</si>
  <si>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</si>
  <si>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</si>
  <si>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</si>
  <si>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</si>
  <si>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</si>
  <si>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</si>
  <si>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</si>
  <si>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</si>
  <si>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</si>
  <si>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</si>
  <si>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</si>
  <si>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</si>
  <si>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</si>
  <si>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</si>
  <si>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</si>
  <si>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</si>
  <si>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</si>
  <si>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</si>
  <si>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</si>
  <si>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</si>
  <si>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</si>
  <si>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</si>
  <si>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</si>
  <si>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</si>
  <si>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</si>
  <si>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</si>
  <si>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</si>
  <si>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</si>
  <si>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</si>
  <si>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</si>
  <si>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</si>
  <si>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</si>
  <si>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</si>
  <si>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</si>
  <si>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</si>
  <si>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</si>
  <si>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</si>
  <si>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</si>
  <si>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</si>
  <si>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</si>
  <si>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</si>
  <si>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</si>
  <si>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</si>
  <si>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</si>
  <si>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</si>
  <si>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</si>
  <si>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</si>
  <si>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</si>
  <si>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</si>
  <si>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</si>
  <si>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</si>
  <si>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</si>
  <si>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</si>
  <si>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</si>
  <si>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A DEFINIR - BELG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</si>
  <si>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</si>
  <si>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</si>
  <si>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</si>
  <si>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</si>
  <si>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</si>
  <si>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</si>
  <si>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</si>
  <si>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</si>
  <si>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</si>
  <si>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</si>
  <si>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</si>
  <si>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</si>
  <si>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</si>
  <si>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</si>
  <si>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</si>
  <si>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</si>
  <si>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</si>
  <si>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</si>
  <si>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</si>
  <si>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</si>
  <si>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</si>
  <si>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</si>
  <si>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</si>
  <si>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</si>
  <si>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</si>
  <si>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</si>
  <si>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</si>
  <si>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SUDESTE</t>
  </si>
  <si>
    <t>MONTES CLAROS</t>
  </si>
  <si>
    <t xml:space="preserve">A DEFINIR I 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</si>
  <si>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</si>
  <si>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</si>
  <si>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</si>
  <si>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</si>
  <si>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</si>
  <si>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</si>
  <si>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RIO WATER PLANET</t>
  </si>
  <si>
    <t>BURITI GARDEN PREMIUM</t>
  </si>
  <si>
    <t>DUQUE DE CAXIAS</t>
  </si>
  <si>
    <t>RESIDENCIAL JARDIM EUROPA - COND.</t>
  </si>
  <si>
    <t xml:space="preserve">ITATIAIA </t>
  </si>
  <si>
    <t>RESIDENCIAL CIDADE JARDIM - INDUSTRIAL</t>
  </si>
  <si>
    <t>ITABORAÍ</t>
  </si>
  <si>
    <t>BURITI GARDEN I</t>
  </si>
  <si>
    <t>A DENIFIR</t>
  </si>
  <si>
    <t>MACAE</t>
  </si>
  <si>
    <t>RESIDENCIAL CIDADE JARDIM I</t>
  </si>
  <si>
    <t>A DEFINIR I I</t>
  </si>
  <si>
    <t>ARRAIAL DO CABO</t>
  </si>
  <si>
    <t xml:space="preserve">ITAPETININGA </t>
  </si>
  <si>
    <t>A DEFINIR I</t>
  </si>
  <si>
    <t>A DEFINIR II</t>
  </si>
  <si>
    <t>A DEFINIR III</t>
  </si>
  <si>
    <t>A DEFINIR IV</t>
  </si>
  <si>
    <t>A DEFINIR V</t>
  </si>
  <si>
    <t>A DEFINIR VI</t>
  </si>
  <si>
    <t>A DEFINIR VII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</si>
  <si>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</si>
  <si>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</si>
  <si>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</si>
  <si>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</si>
  <si>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</si>
  <si>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</si>
  <si>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</si>
  <si>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</si>
  <si>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</si>
  <si>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</si>
  <si>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</si>
  <si>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</si>
  <si>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</si>
  <si>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</si>
  <si>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</si>
  <si>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</si>
  <si>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</si>
  <si>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</si>
  <si>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</si>
  <si>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</si>
  <si>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</si>
  <si>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1a- Cachoeira do Sul</t>
  </si>
  <si>
    <t>1a- Cachoeira (Compra 23,21ha)</t>
  </si>
  <si>
    <t>1b - Cachoeira do Sul</t>
  </si>
  <si>
    <t>1b- Cachoeira (Compra 23,21ha)</t>
  </si>
  <si>
    <t>GUAÍBA</t>
  </si>
  <si>
    <t>2b-Guaíba</t>
  </si>
  <si>
    <t>2c-Guaíba</t>
  </si>
  <si>
    <t>2d-Guaíba</t>
  </si>
  <si>
    <t>2d-Guaíba II</t>
  </si>
  <si>
    <t>2d-Guaíba III</t>
  </si>
  <si>
    <t>PORTO ALEGRE</t>
  </si>
  <si>
    <t>3ab-POA Cidade Nova /Arildo</t>
  </si>
  <si>
    <t>3ac-POA Cidade Nova /Arildo</t>
  </si>
  <si>
    <t>3ad-POA C. Nova/Arildo (Compra 24ha)</t>
  </si>
  <si>
    <t>3b-POA Cidade Nova/FML</t>
  </si>
  <si>
    <t>3c-POA C. Nova/ Dr.Marco Aurélio</t>
  </si>
  <si>
    <t>3da-POA/Calha de Pedra I</t>
  </si>
  <si>
    <t>3db-POA/Calha de Pedra II</t>
  </si>
  <si>
    <t>3dc-POA/Calha de Pedra III</t>
  </si>
  <si>
    <t>SANTA CRUZ DO SUL</t>
  </si>
  <si>
    <t>4a - Santa Cruz do Sul</t>
  </si>
  <si>
    <t>SÃO LEOPOLDO</t>
  </si>
  <si>
    <t>5a-São Leopoldo - Aberto 1ºFase</t>
  </si>
  <si>
    <t>5a-São Leopoldo - Aberto 2ºFase</t>
  </si>
  <si>
    <t>5b-São Leopoldo - Fechado 1ºFase</t>
  </si>
  <si>
    <t>5b-São Leopoldo - Fechado 2ºFase</t>
  </si>
  <si>
    <t>CAXIAS DO SUL</t>
  </si>
  <si>
    <t>6a- Caxias do Sul EURO BR</t>
  </si>
  <si>
    <t>6b- Cx. Sul - Siviero / Caminhos do Sol</t>
  </si>
  <si>
    <t>6c- Cx. Sul - Siviero / Vale das Colinas</t>
  </si>
  <si>
    <t>6d- Cx. Sul - Siviero / Zanandrea</t>
  </si>
  <si>
    <t>6e- Cx. Sul - Siviero / Pedrotti</t>
  </si>
  <si>
    <t>6f- Caxias do Sul - Família STEDILE</t>
  </si>
  <si>
    <t>CANELA</t>
  </si>
  <si>
    <t>7-Canela I</t>
  </si>
  <si>
    <t>7-Canela II</t>
  </si>
  <si>
    <t>7-Canela III</t>
  </si>
  <si>
    <t>7-Canela IV</t>
  </si>
  <si>
    <t>VIAMÃO</t>
  </si>
  <si>
    <t>8a-Viamão - Marcelo Gambogi</t>
  </si>
  <si>
    <t>8b-Viamão - Surreax/Montaine</t>
  </si>
  <si>
    <t>8c-Viamão - Vianópolis</t>
  </si>
  <si>
    <t>PELOTAS</t>
  </si>
  <si>
    <t>9a - Pelotas - Residencial RCL</t>
  </si>
  <si>
    <t>9b - Pelotas - Industrial RCL</t>
  </si>
  <si>
    <t>RIO GRANDE DO SUL</t>
  </si>
  <si>
    <t>10a - Rio Grande - Aquario/Iboty</t>
  </si>
  <si>
    <t>10b - Rio Grande - Aquario/Iboty</t>
  </si>
  <si>
    <t>10c - Rio Grande - Augusto Otero</t>
  </si>
  <si>
    <t>ALVORADA</t>
  </si>
  <si>
    <t>11 - Alvorada</t>
  </si>
  <si>
    <t>SAPIRANGA</t>
  </si>
  <si>
    <t>12 - Sapiranga</t>
  </si>
  <si>
    <t>TORRES</t>
  </si>
  <si>
    <t>13 - Torres</t>
  </si>
  <si>
    <t>GUARAPUAVA</t>
  </si>
  <si>
    <t>14a- Guarapuava - 41ha (Eldorado I)</t>
  </si>
  <si>
    <t>14b-Guarapuava - 24ha (Eldorado II)</t>
  </si>
  <si>
    <t>VITORINO</t>
  </si>
  <si>
    <t>15 - Vitorino - 64ha</t>
  </si>
  <si>
    <t>15 - Vitorino - 64ha II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</si>
  <si>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</si>
  <si>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</si>
  <si>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</si>
  <si>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</si>
  <si>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</si>
  <si>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</si>
  <si>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</si>
  <si>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</si>
  <si>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</si>
  <si>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</si>
  <si>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</si>
  <si>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</si>
  <si>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</si>
  <si>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</si>
  <si>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</si>
  <si>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</si>
  <si>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</si>
  <si>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</si>
  <si>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</si>
  <si>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</si>
  <si>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CENTRO OESTE</t>
  </si>
  <si>
    <t>BELA VISTA</t>
  </si>
  <si>
    <t>CIDADE JARDIM - ETP I</t>
  </si>
  <si>
    <t>CIDADE JARDIM - ETP II</t>
  </si>
  <si>
    <t>CONCEIÇÃO DO ARAGUAIA</t>
  </si>
  <si>
    <t>RES. BURITI GARDEN</t>
  </si>
  <si>
    <t>CENTRO OESTE II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</si>
  <si>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</si>
  <si>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</si>
  <si>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</si>
  <si>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</si>
  <si>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</si>
  <si>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</si>
  <si>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</si>
  <si>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</si>
  <si>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</si>
  <si>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</si>
  <si>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</si>
  <si>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</si>
  <si>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</si>
  <si>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</si>
  <si>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</si>
  <si>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</si>
  <si>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</si>
  <si>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</si>
  <si>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</si>
  <si>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</si>
  <si>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</si>
  <si>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</si>
  <si>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</si>
  <si>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</si>
  <si>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</si>
  <si>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</si>
  <si>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</si>
  <si>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</si>
  <si>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</si>
  <si>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</si>
  <si>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</si>
  <si>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</si>
  <si>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</si>
  <si>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</si>
  <si>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</si>
  <si>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</si>
  <si>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</si>
  <si>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 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</si>
  <si>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</si>
  <si>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</si>
  <si>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</si>
  <si>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</si>
  <si>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</si>
  <si>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</si>
  <si>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</si>
  <si>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</si>
  <si>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</si>
  <si>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 xml:space="preserve">RESIDENCIAL JARDIM AMERICA II - PORANGATU 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</si>
  <si>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</si>
  <si>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</si>
  <si>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</si>
  <si>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</si>
  <si>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</si>
  <si>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</si>
  <si>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</si>
  <si>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</si>
  <si>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</si>
  <si>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</si>
  <si>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</si>
  <si>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</si>
  <si>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</si>
  <si>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</si>
  <si>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</si>
  <si>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</si>
  <si>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</si>
  <si>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</si>
  <si>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</si>
  <si>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II - BALSAS</t>
  </si>
  <si>
    <t>RESIDENCIAL CIDADE JARDIM III - BALSAS</t>
  </si>
  <si>
    <t>RESIDENCIAL CIDADE JARDIM II - MONTES CLAROS</t>
  </si>
  <si>
    <t>RESIDENCIAL CIDADE JARDIM III - MONTES CLAROS</t>
  </si>
  <si>
    <t>A DEFINIR I  - MONTES CLAROS</t>
  </si>
  <si>
    <t xml:space="preserve">CHACARA PARAISO - UBERABA 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</si>
  <si>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</si>
  <si>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</si>
  <si>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</si>
  <si>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</si>
  <si>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</si>
  <si>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</si>
  <si>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</si>
  <si>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</si>
  <si>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 xml:space="preserve">RESIDENCIAL CIDADE JARDIM - ITATIAIA </t>
  </si>
  <si>
    <t xml:space="preserve">RESIDENCIAL CIDADE JARDIM - INDUSTRIAL - ITATIAIA </t>
  </si>
  <si>
    <t xml:space="preserve">RESIDENCIAL CIDADE JARDIM II - ITATIAIA </t>
  </si>
  <si>
    <t xml:space="preserve">RESIDENCIAL CIDADE JARDIM III - ITATIAIA </t>
  </si>
  <si>
    <t xml:space="preserve">RESIDENCIAL CIDADE JARDIM IV - ITATIAIA 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</si>
  <si>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</si>
  <si>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</si>
  <si>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</si>
  <si>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</si>
  <si>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</si>
  <si>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A DEFINIR I  - MACAE</t>
  </si>
  <si>
    <t>A DEFINIR I I - MACAE</t>
  </si>
  <si>
    <t>A DEFINIR I  - ARRAIAL DO CABO</t>
  </si>
  <si>
    <t>A DEFINIR I I - ARRAIAL DO CABO</t>
  </si>
  <si>
    <t xml:space="preserve">RESIDENCIAL CIDADE JARDIM I - ITAPETININGA </t>
  </si>
  <si>
    <t xml:space="preserve">RESIDENCIAL CIDADE JARDIM II - ITAPETININGA </t>
  </si>
  <si>
    <t xml:space="preserve">A DEFINIR I - ITAPETININGA </t>
  </si>
  <si>
    <t xml:space="preserve">A DEFINIR II - ITAPETININGA </t>
  </si>
  <si>
    <t xml:space="preserve">A DEFINIR III - ITAPETININGA </t>
  </si>
  <si>
    <t xml:space="preserve">A DEFINIR IV - ITAPETININGA </t>
  </si>
  <si>
    <t xml:space="preserve">A DEFINIR V - ITAPETININGA </t>
  </si>
  <si>
    <t xml:space="preserve">A DEFINIR VI - ITAPETININGA </t>
  </si>
  <si>
    <t xml:space="preserve">A DEFINIR VII - ITAPETININGA 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</si>
  <si>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</si>
  <si>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</si>
  <si>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</si>
  <si>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</si>
  <si>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</si>
  <si>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</si>
  <si>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</si>
  <si>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</si>
  <si>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</si>
  <si>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</si>
  <si>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</si>
  <si>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</si>
  <si>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</si>
  <si>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</si>
  <si>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</si>
  <si>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</si>
  <si>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</si>
  <si>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</si>
  <si>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 - GUARATIBA - RIO DE JANEIRO</t>
  </si>
  <si>
    <t>A DEFINIR - CABO FRIO</t>
  </si>
  <si>
    <t>1a- Cachoeira do Sul - CACHOEIRA DO SUL</t>
  </si>
  <si>
    <t>1a- Cachoeira (Compra 23,21ha) - CACHOEIRA DO SUL</t>
  </si>
  <si>
    <t>1b - Cachoeira do Sul - CACHOEIRA DO SUL</t>
  </si>
  <si>
    <t>1b- Cachoeira (Compra 23,21ha) - CACHOEIRA DO SUL</t>
  </si>
  <si>
    <t>2b-Guaíba - GUAÍBA</t>
  </si>
  <si>
    <t>2c-Guaíba - GUAÍBA</t>
  </si>
  <si>
    <t>2d-Guaíba - GUAÍBA</t>
  </si>
  <si>
    <t>2d-Guaíba II - GUAÍBA</t>
  </si>
  <si>
    <t>2d-Guaíba III - GUAÍBA</t>
  </si>
  <si>
    <t>3ab-POA Cidade Nova /Arildo - PORTO ALEGRE</t>
  </si>
  <si>
    <t>3ac-POA Cidade Nova /Arildo - PORTO ALEGRE</t>
  </si>
  <si>
    <t>3ad-POA C. Nova/Arildo (Compra 24ha) - PORTO ALEGRE</t>
  </si>
  <si>
    <t>3b-POA Cidade Nova/FML - PORTO ALEGRE</t>
  </si>
  <si>
    <t>3c-POA C. Nova/ Dr.Marco Aurélio - PORTO ALEGRE</t>
  </si>
  <si>
    <t>3da-POA/Calha de Pedra I - PORTO ALEGRE</t>
  </si>
  <si>
    <t>3db-POA/Calha de Pedra II - PORTO ALEGRE</t>
  </si>
  <si>
    <t>3dc-POA/Calha de Pedra III - PORTO ALEGRE</t>
  </si>
  <si>
    <t>4a - Santa Cruz do Sul - SANTA CRUZ DO SUL</t>
  </si>
  <si>
    <t>5a-São Leopoldo - Aberto 1ºFase - SÃO LEOPOLDO</t>
  </si>
  <si>
    <t>5a-São Leopoldo - Aberto 2ºFase - SÃO LEOPOLDO</t>
  </si>
  <si>
    <t>5b-São Leopoldo - Fechado 1ºFase - SÃO LEOPOLDO</t>
  </si>
  <si>
    <t>5b-São Leopoldo - Fechado 2ºFase - SÃO LEOPOLDO</t>
  </si>
  <si>
    <t>6a- Caxias do Sul EURO BR - CAXIAS DO SUL</t>
  </si>
  <si>
    <t>6b- Cx. Sul - Siviero / Caminhos do Sol - CAXIAS DO SUL</t>
  </si>
  <si>
    <t>6c- Cx. Sul - Siviero / Vale das Colinas - CAXIAS DO SUL</t>
  </si>
  <si>
    <t>6d- Cx. Sul - Siviero / Zanandrea - CAXIAS DO SUL</t>
  </si>
  <si>
    <t>6e- Cx. Sul - Siviero / Pedrotti - CAXIAS DO SUL</t>
  </si>
  <si>
    <t>6f- Caxias do Sul - Família STEDILE - CAXIAS DO SUL</t>
  </si>
  <si>
    <t>7-Canela I - CANELA</t>
  </si>
  <si>
    <t>7-Canela II - CANELA</t>
  </si>
  <si>
    <t>7-Canela III - CANELA</t>
  </si>
  <si>
    <t>7-Canela IV - CANELA</t>
  </si>
  <si>
    <t>8a-Viamão - Marcelo Gambogi - VIAMÃO</t>
  </si>
  <si>
    <t>8b-Viamão - Surreax/Montaine - VIAMÃO</t>
  </si>
  <si>
    <t>8c-Viamão - Vianópolis - VIAMÃO</t>
  </si>
  <si>
    <t>9a - Pelotas - Residencial RCL - PELOTAS</t>
  </si>
  <si>
    <t>9b - Pelotas - Industrial RCL - PELOTAS</t>
  </si>
  <si>
    <t>10a - Rio Grande - Aquario/Iboty - RIO GRANDE DO SUL</t>
  </si>
  <si>
    <t>10b - Rio Grande - Aquario/Iboty - RIO GRANDE DO SUL</t>
  </si>
  <si>
    <t>10c - Rio Grande - Augusto Otero - RIO GRANDE DO SUL</t>
  </si>
  <si>
    <t>11 - Alvorada - ALVORADA</t>
  </si>
  <si>
    <t>12 - Sapiranga - SAPIRANGA</t>
  </si>
  <si>
    <t>13 - Torres - TORRES</t>
  </si>
  <si>
    <t>14a- Guarapuava - 41ha (Eldorado I) - GUARAPUAVA</t>
  </si>
  <si>
    <t>14b-Guarapuava - 24ha (Eldorado II) - GUARAPUAVA</t>
  </si>
  <si>
    <t>15 - Vitorino - 64ha - VITORINO</t>
  </si>
  <si>
    <t>15 - Vitorino - 64ha II - VITORINO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</si>
  <si>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</si>
  <si>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</si>
  <si>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</si>
  <si>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</si>
  <si>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</si>
  <si>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</si>
  <si>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</si>
  <si>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</si>
  <si>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</si>
  <si>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</si>
  <si>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</si>
  <si>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</si>
  <si>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</si>
  <si>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</si>
  <si>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</si>
  <si>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</si>
  <si>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</si>
  <si>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</si>
  <si>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</si>
  <si>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</si>
  <si>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</si>
  <si>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</si>
  <si>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</si>
  <si>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</si>
  <si>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</si>
  <si>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</si>
  <si>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</si>
  <si>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</si>
  <si>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</si>
  <si>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</si>
  <si>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</si>
  <si>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</si>
  <si>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</si>
  <si>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</si>
  <si>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</si>
  <si>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</si>
  <si>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</si>
  <si>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</si>
  <si>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</si>
  <si>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</si>
  <si>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</si>
  <si>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</si>
  <si>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</si>
  <si>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</si>
  <si>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</si>
  <si>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</si>
  <si>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</si>
  <si>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</si>
  <si>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</si>
  <si>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</si>
  <si>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</si>
  <si>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</si>
  <si>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</si>
  <si>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</si>
  <si>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</si>
  <si>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</si>
  <si>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</si>
  <si>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</si>
  <si>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</si>
  <si>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</si>
  <si>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</si>
  <si>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</si>
  <si>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</si>
  <si>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</si>
  <si>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</si>
  <si>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</si>
  <si>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</si>
  <si>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</si>
  <si>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</si>
  <si>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</si>
  <si>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</si>
  <si>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</si>
  <si>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</si>
  <si>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</si>
  <si>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</si>
  <si>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</si>
  <si>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</si>
  <si>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</si>
  <si>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</si>
  <si>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</si>
  <si>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</si>
  <si>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</si>
  <si>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</si>
  <si>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</si>
  <si>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</si>
  <si>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</si>
  <si>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</si>
  <si>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</si>
  <si>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</si>
  <si>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</si>
  <si>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</si>
  <si>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</si>
  <si>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</si>
  <si>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</si>
  <si>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</si>
  <si>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</si>
  <si>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</si>
  <si>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</si>
  <si>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</si>
  <si>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</si>
  <si>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</si>
  <si>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</si>
  <si>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</si>
  <si>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</si>
  <si>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</si>
  <si>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</si>
  <si>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</si>
  <si>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</si>
  <si>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</si>
  <si>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</si>
  <si>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</si>
  <si>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</si>
  <si>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</si>
  <si>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</si>
  <si>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</si>
  <si>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</si>
  <si>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</si>
  <si>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</si>
  <si>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</si>
  <si>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</si>
  <si>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</si>
  <si>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Visualizar Área</t>
  </si>
  <si>
    <t>Acessar Mapa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</si>
  <si>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</si>
  <si>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</si>
  <si>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</si>
  <si>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</si>
  <si>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RESIDENCIAL  ACSV (ÁREA DO PASTOR ) - PALMAS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</si>
  <si>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</si>
  <si>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</si>
  <si>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</si>
  <si>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</si>
  <si>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</si>
  <si>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</si>
  <si>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 xml:space="preserve">CIDADE JARDIM 12 - PARAUAPEBAS </t>
  </si>
  <si>
    <t xml:space="preserve">CIDADE JARDIM 13 - PARAUAPEBAS </t>
  </si>
  <si>
    <t xml:space="preserve">CIDADE JARDIM 14 - PARAUAPEBAS </t>
  </si>
  <si>
    <t xml:space="preserve">CIDADE JARDIM 15 - PARAUAPEBAS </t>
  </si>
  <si>
    <t xml:space="preserve">CIDADE JARDIM 16 - PARAUAPEBAS </t>
  </si>
  <si>
    <t xml:space="preserve">CIDADE JARDIM 17 - PARAUAPEBAS </t>
  </si>
  <si>
    <t>RESIDENCIAL CIDADE JARDIM III - ARIQUEMES</t>
  </si>
  <si>
    <t>A DEFINIR - XEREM</t>
  </si>
  <si>
    <t>ID</t>
  </si>
  <si>
    <t>MAP001</t>
  </si>
  <si>
    <t>MAP006</t>
  </si>
  <si>
    <t>MAP007</t>
  </si>
  <si>
    <t>MAP008</t>
  </si>
  <si>
    <t>MAP009</t>
  </si>
  <si>
    <t>MAP010</t>
  </si>
  <si>
    <t>MAP011</t>
  </si>
  <si>
    <t>MAP002</t>
  </si>
  <si>
    <t>MAP003</t>
  </si>
  <si>
    <t>MAP004</t>
  </si>
  <si>
    <t>MAP005</t>
  </si>
  <si>
    <t>MAP012</t>
  </si>
  <si>
    <t>MAP013</t>
  </si>
  <si>
    <t>MAP020</t>
  </si>
  <si>
    <t>MAP021</t>
  </si>
  <si>
    <t>MAP022</t>
  </si>
  <si>
    <t>MAP023</t>
  </si>
  <si>
    <t>MAP026</t>
  </si>
  <si>
    <t>MAP024</t>
  </si>
  <si>
    <t>MAP025</t>
  </si>
  <si>
    <t>MAP028</t>
  </si>
  <si>
    <t>MAP030</t>
  </si>
  <si>
    <t>MAP029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</si>
  <si>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</si>
  <si>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</si>
  <si>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</si>
  <si>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</si>
  <si>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</si>
  <si>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</si>
  <si>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</si>
  <si>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</si>
  <si>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</si>
  <si>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</si>
  <si>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</si>
  <si>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</si>
  <si>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</si>
  <si>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</si>
  <si>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</si>
  <si>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</si>
  <si>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</si>
  <si>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</si>
  <si>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</si>
  <si>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MAP051</t>
  </si>
  <si>
    <t>MAP052</t>
  </si>
  <si>
    <t>MAP053</t>
  </si>
  <si>
    <t>MAP055</t>
  </si>
  <si>
    <t>MAP054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</si>
  <si>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</si>
  <si>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</si>
  <si>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</si>
  <si>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</si>
  <si>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</si>
  <si>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</si>
  <si>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</si>
  <si>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</si>
  <si>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</si>
  <si>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</si>
  <si>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</si>
  <si>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</si>
  <si>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</si>
  <si>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</si>
  <si>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</si>
  <si>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</si>
  <si>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</si>
  <si>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</si>
  <si>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</si>
  <si>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</si>
  <si>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</si>
  <si>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</si>
  <si>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MAP078</t>
  </si>
  <si>
    <t>MAP079</t>
  </si>
  <si>
    <t>MAP082</t>
  </si>
  <si>
    <t>MAP083</t>
  </si>
  <si>
    <t>MAP084</t>
  </si>
  <si>
    <t>MAP085</t>
  </si>
  <si>
    <t>MAP086</t>
  </si>
  <si>
    <t>MAP087</t>
  </si>
  <si>
    <t>MAP088</t>
  </si>
  <si>
    <t>MAP089</t>
  </si>
  <si>
    <t>MAP090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</si>
  <si>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</si>
  <si>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</si>
  <si>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</si>
  <si>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</si>
  <si>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</si>
  <si>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</si>
  <si>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</si>
  <si>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</si>
  <si>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</si>
  <si>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</si>
  <si>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</si>
  <si>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</si>
  <si>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</si>
  <si>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</si>
  <si>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</si>
  <si>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</si>
  <si>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</si>
  <si>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</si>
  <si>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</si>
  <si>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</si>
  <si>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</si>
  <si>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</si>
  <si>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</si>
  <si>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</si>
  <si>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</si>
  <si>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</si>
  <si>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</si>
  <si>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</si>
  <si>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</si>
  <si>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</si>
  <si>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MAP121</t>
  </si>
  <si>
    <t>MAP122</t>
  </si>
  <si>
    <t>MAP027</t>
  </si>
  <si>
    <t>MAP050</t>
  </si>
  <si>
    <t>MAP081</t>
  </si>
  <si>
    <t>MAP080</t>
  </si>
  <si>
    <t>Código Modelo</t>
  </si>
  <si>
    <t>Margem</t>
  </si>
  <si>
    <t>Valor m2 Obra</t>
  </si>
  <si>
    <t>Valor m2 Venda</t>
  </si>
  <si>
    <t>Area Total m2</t>
  </si>
  <si>
    <t>Valor médio por terreno</t>
  </si>
  <si>
    <t>Custo médio por terreno</t>
  </si>
  <si>
    <t>Empresa UAU</t>
  </si>
  <si>
    <t>Obra UAU</t>
  </si>
  <si>
    <t># Workflow</t>
  </si>
  <si>
    <t>RESIDENCIAL CIDADE JARDIM - SUBETAPA2 - BALSAS</t>
  </si>
  <si>
    <t>RESIDENCIAL CIDADE JARDIM I - STP1</t>
  </si>
  <si>
    <t># UAU LAND-BANK</t>
  </si>
  <si>
    <t>REVER PROJETOS</t>
  </si>
  <si>
    <t>% Paga obra</t>
  </si>
  <si>
    <t>6g- Caxias do Sul - Família STEDILE</t>
  </si>
  <si>
    <t>9c - Pelotas - Industrial RCL II</t>
  </si>
  <si>
    <t>12b - Sapiranga</t>
  </si>
  <si>
    <t>RESIDENCIAL PAINEIRAS</t>
  </si>
  <si>
    <t>PORTO VELHO</t>
  </si>
  <si>
    <t>RESIDENCIAL PARQUE JARDIM</t>
  </si>
  <si>
    <t>SPE BTMV EMPREENDIMENTOS IMOBILIARIOS LTDA</t>
  </si>
  <si>
    <t>HONORATO PIRES MIRANDA "ESPÓLIO"</t>
  </si>
  <si>
    <t>NOVO GAMA</t>
  </si>
  <si>
    <t>CENTRO-OESTE II</t>
  </si>
  <si>
    <t>Projeto Feito</t>
  </si>
  <si>
    <t>sim</t>
  </si>
  <si>
    <t>não</t>
  </si>
  <si>
    <t>projeto pronto</t>
  </si>
  <si>
    <t xml:space="preserve">não </t>
  </si>
  <si>
    <t>não encontrado</t>
  </si>
  <si>
    <t>verificar</t>
  </si>
  <si>
    <t>CHAPADA DOS GUIMARÃES-LAGO DO MANSO</t>
  </si>
  <si>
    <t>CHAPADA DOS GUIMARÃES</t>
  </si>
  <si>
    <t>ZEZO MALOUF</t>
  </si>
  <si>
    <t>MAP123</t>
  </si>
  <si>
    <t>MAP124</t>
  </si>
  <si>
    <t>MAP125</t>
  </si>
  <si>
    <t>MAP126</t>
  </si>
  <si>
    <t>MAP127</t>
  </si>
  <si>
    <t>MAP128</t>
  </si>
  <si>
    <t>MAP129</t>
  </si>
  <si>
    <t>MAP130</t>
  </si>
  <si>
    <t>MAP131</t>
  </si>
  <si>
    <t>MAP132</t>
  </si>
  <si>
    <t>VALOR SPE</t>
  </si>
  <si>
    <t>ANAMARIA SANTOS GUIMARÃES</t>
  </si>
  <si>
    <t>CALDAS NOVAS</t>
  </si>
  <si>
    <t>MAP133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</si>
</sst>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.0%_);\(0.0%\);0.0%_);@_)"/>
    <numFmt numFmtId="167" formatCode="0.00%_);\(0.00%\);0.00%_);@_)"/>
    <numFmt numFmtId="168" formatCode="0%_);\(0%\);0%_);@_)"/>
    <numFmt numFmtId="169" formatCode="[$-416]mmm\-yy;@"/>
    <numFmt numFmtId="170" formatCode="&quot;Ativo&quot;;\-#,##0;[Red]&quot;Inativo&quot;"/>
    <numFmt numFmtId="171" formatCode="_-&quot;R$&quot;\ * #,##0_-;\-&quot;R$&quot;\ * #,##0_-;_-&quot;R$&quot;\ * &quot;-&quot;??_-;_-@_-"/>
    <numFmt numFmtId="172" formatCode="_-* #,##0_-;\-* #,##0_-;_-* &quot;-&quot;??_-;_-@_-"/>
    <numFmt numFmtId="173" formatCode="0.0%"/>
    <numFmt numFmtId="174" formatCode="#,##0.00&quot;x&quot;"/>
  </numFmts>
  <fonts count="15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FF"/>
      <name val="Aptos Narrow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  <border>
      <left style="hair">
        <color rgb="FF0000FF"/>
      </left>
      <right style="hair">
        <color rgb="FF0000FF"/>
      </right>
      <top/>
      <bottom style="hair">
        <color rgb="FF0000FF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hair">
        <color rgb="FF0000FF"/>
      </right>
      <top style="hair">
        <color rgb="FF0000FF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FF"/>
      </left>
      <right/>
      <top style="hair">
        <color rgb="FF0000FF"/>
      </top>
      <bottom style="hair">
        <color rgb="FF0000FF"/>
      </bottom>
      <diagonal/>
    </border>
    <border>
      <left/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/>
      <top style="hair">
        <color rgb="FF0000FF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37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37" fontId="4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0" fontId="6" fillId="4" borderId="0" xfId="1" applyFill="1" applyAlignment="1">
      <alignment vertical="center"/>
    </xf>
    <xf numFmtId="0" fontId="3" fillId="0" borderId="0" xfId="0" applyFont="1" applyAlignment="1">
      <alignment horizontal="center" vertical="center"/>
    </xf>
    <xf numFmtId="37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70" fontId="3" fillId="3" borderId="1" xfId="0" applyNumberFormat="1" applyFont="1" applyFill="1" applyBorder="1" applyAlignment="1">
      <alignment horizontal="center" vertical="center"/>
    </xf>
    <xf numFmtId="171" fontId="3" fillId="3" borderId="1" xfId="3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172" fontId="4" fillId="3" borderId="1" xfId="2" applyNumberFormat="1" applyFont="1" applyFill="1" applyBorder="1" applyAlignment="1">
      <alignment horizontal="center" vertical="center"/>
    </xf>
    <xf numFmtId="173" fontId="3" fillId="3" borderId="0" xfId="4" applyNumberFormat="1" applyFont="1" applyFill="1" applyBorder="1" applyAlignment="1">
      <alignment horizontal="center" vertical="center"/>
    </xf>
    <xf numFmtId="174" fontId="0" fillId="0" borderId="0" xfId="2" applyNumberFormat="1" applyFont="1"/>
    <xf numFmtId="0" fontId="2" fillId="6" borderId="0" xfId="0" applyFont="1" applyFill="1" applyAlignment="1">
      <alignment horizontal="center" vertical="center"/>
    </xf>
    <xf numFmtId="37" fontId="3" fillId="6" borderId="1" xfId="0" applyNumberFormat="1" applyFont="1" applyFill="1" applyBorder="1" applyAlignment="1">
      <alignment horizontal="center" vertical="center"/>
    </xf>
    <xf numFmtId="171" fontId="3" fillId="6" borderId="1" xfId="3" applyNumberFormat="1" applyFont="1" applyFill="1" applyBorder="1" applyAlignment="1">
      <alignment horizontal="center" vertical="center"/>
    </xf>
    <xf numFmtId="172" fontId="4" fillId="6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170" fontId="3" fillId="3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169" fontId="5" fillId="3" borderId="2" xfId="0" applyNumberFormat="1" applyFont="1" applyFill="1" applyBorder="1" applyAlignment="1">
      <alignment horizontal="center" vertical="center"/>
    </xf>
    <xf numFmtId="172" fontId="4" fillId="3" borderId="2" xfId="2" applyNumberFormat="1" applyFont="1" applyFill="1" applyBorder="1" applyAlignment="1">
      <alignment horizontal="center" vertical="center"/>
    </xf>
    <xf numFmtId="37" fontId="3" fillId="3" borderId="2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center" vertical="center"/>
    </xf>
    <xf numFmtId="37" fontId="4" fillId="3" borderId="2" xfId="0" applyNumberFormat="1" applyFont="1" applyFill="1" applyBorder="1" applyAlignment="1">
      <alignment horizontal="center" vertical="center"/>
    </xf>
    <xf numFmtId="171" fontId="3" fillId="3" borderId="2" xfId="3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49" fontId="3" fillId="3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left" vertical="center"/>
    </xf>
    <xf numFmtId="166" fontId="3" fillId="3" borderId="3" xfId="0" applyNumberFormat="1" applyFont="1" applyFill="1" applyBorder="1" applyAlignment="1">
      <alignment horizontal="center" vertical="center"/>
    </xf>
    <xf numFmtId="167" fontId="4" fillId="3" borderId="3" xfId="0" applyNumberFormat="1" applyFont="1" applyFill="1" applyBorder="1" applyAlignment="1">
      <alignment horizontal="center" vertical="center"/>
    </xf>
    <xf numFmtId="168" fontId="4" fillId="3" borderId="3" xfId="0" applyNumberFormat="1" applyFont="1" applyFill="1" applyBorder="1" applyAlignment="1">
      <alignment horizontal="center" vertical="center"/>
    </xf>
    <xf numFmtId="169" fontId="3" fillId="3" borderId="3" xfId="0" applyNumberFormat="1" applyFont="1" applyFill="1" applyBorder="1" applyAlignment="1">
      <alignment horizontal="center" vertical="center"/>
    </xf>
    <xf numFmtId="169" fontId="5" fillId="3" borderId="3" xfId="0" applyNumberFormat="1" applyFont="1" applyFill="1" applyBorder="1" applyAlignment="1">
      <alignment horizontal="center" vertical="center"/>
    </xf>
    <xf numFmtId="172" fontId="4" fillId="3" borderId="3" xfId="2" applyNumberFormat="1" applyFont="1" applyFill="1" applyBorder="1" applyAlignment="1">
      <alignment horizontal="center" vertical="center"/>
    </xf>
    <xf numFmtId="37" fontId="3" fillId="3" borderId="3" xfId="0" applyNumberFormat="1" applyFont="1" applyFill="1" applyBorder="1" applyAlignment="1">
      <alignment horizontal="center" vertical="center"/>
    </xf>
    <xf numFmtId="168" fontId="5" fillId="3" borderId="3" xfId="0" applyNumberFormat="1" applyFont="1" applyFill="1" applyBorder="1" applyAlignment="1">
      <alignment horizontal="center" vertical="center"/>
    </xf>
    <xf numFmtId="37" fontId="4" fillId="3" borderId="3" xfId="0" applyNumberFormat="1" applyFont="1" applyFill="1" applyBorder="1" applyAlignment="1">
      <alignment horizontal="center" vertical="center"/>
    </xf>
    <xf numFmtId="171" fontId="3" fillId="3" borderId="3" xfId="3" applyNumberFormat="1" applyFont="1" applyFill="1" applyBorder="1" applyAlignment="1">
      <alignment horizontal="center" vertical="center"/>
    </xf>
    <xf numFmtId="37" fontId="3" fillId="6" borderId="2" xfId="0" applyNumberFormat="1" applyFont="1" applyFill="1" applyBorder="1" applyAlignment="1">
      <alignment horizontal="center" vertical="center"/>
    </xf>
    <xf numFmtId="171" fontId="3" fillId="6" borderId="2" xfId="3" applyNumberFormat="1" applyFont="1" applyFill="1" applyBorder="1" applyAlignment="1">
      <alignment horizontal="center" vertical="center"/>
    </xf>
    <xf numFmtId="173" fontId="3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/>
    <xf numFmtId="164" fontId="3" fillId="3" borderId="1" xfId="3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0" fontId="0" fillId="3" borderId="1" xfId="4" applyNumberFormat="1" applyFont="1" applyFill="1" applyBorder="1" applyAlignment="1">
      <alignment horizontal="center"/>
    </xf>
    <xf numFmtId="0" fontId="0" fillId="0" borderId="1" xfId="0" applyBorder="1"/>
    <xf numFmtId="0" fontId="2" fillId="7" borderId="0" xfId="0" applyFont="1" applyFill="1" applyAlignment="1">
      <alignment horizontal="center" vertical="center"/>
    </xf>
    <xf numFmtId="0" fontId="11" fillId="3" borderId="1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6" fillId="4" borderId="1" xfId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11" fillId="3" borderId="0" xfId="0" applyFont="1" applyFill="1"/>
    <xf numFmtId="0" fontId="11" fillId="3" borderId="1" xfId="0" applyFont="1" applyFill="1" applyBorder="1" applyAlignment="1">
      <alignment horizontal="left"/>
    </xf>
    <xf numFmtId="3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37" fontId="3" fillId="8" borderId="1" xfId="0" applyNumberFormat="1" applyFont="1" applyFill="1" applyBorder="1" applyAlignment="1">
      <alignment horizontal="center" vertical="center"/>
    </xf>
    <xf numFmtId="172" fontId="4" fillId="8" borderId="1" xfId="2" applyNumberFormat="1" applyFont="1" applyFill="1" applyBorder="1" applyAlignment="1">
      <alignment horizontal="center" vertical="center"/>
    </xf>
    <xf numFmtId="37" fontId="3" fillId="8" borderId="2" xfId="0" applyNumberFormat="1" applyFont="1" applyFill="1" applyBorder="1" applyAlignment="1">
      <alignment horizontal="center" vertical="center"/>
    </xf>
    <xf numFmtId="172" fontId="4" fillId="8" borderId="2" xfId="2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2" fillId="0" borderId="0" xfId="0" applyFont="1"/>
    <xf numFmtId="0" fontId="13" fillId="3" borderId="1" xfId="0" applyFont="1" applyFill="1" applyBorder="1"/>
    <xf numFmtId="0" fontId="13" fillId="3" borderId="0" xfId="0" applyFont="1" applyFill="1"/>
    <xf numFmtId="0" fontId="13" fillId="3" borderId="1" xfId="0" applyFont="1" applyFill="1" applyBorder="1" applyAlignment="1">
      <alignment horizontal="center"/>
    </xf>
    <xf numFmtId="0" fontId="12" fillId="3" borderId="1" xfId="0" applyFont="1" applyFill="1" applyBorder="1"/>
    <xf numFmtId="174" fontId="12" fillId="0" borderId="0" xfId="2" applyNumberFormat="1" applyFont="1"/>
    <xf numFmtId="0" fontId="11" fillId="3" borderId="2" xfId="0" applyFont="1" applyFill="1" applyBorder="1" applyAlignment="1">
      <alignment horizontal="left"/>
    </xf>
    <xf numFmtId="0" fontId="0" fillId="3" borderId="2" xfId="0" applyFill="1" applyBorder="1"/>
    <xf numFmtId="37" fontId="3" fillId="3" borderId="6" xfId="0" applyNumberFormat="1" applyFont="1" applyFill="1" applyBorder="1" applyAlignment="1">
      <alignment horizontal="center" vertical="center"/>
    </xf>
    <xf numFmtId="164" fontId="3" fillId="3" borderId="2" xfId="3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/>
    </xf>
    <xf numFmtId="10" fontId="11" fillId="3" borderId="1" xfId="4" applyNumberFormat="1" applyFont="1" applyFill="1" applyBorder="1" applyAlignment="1">
      <alignment horizontal="center"/>
    </xf>
    <xf numFmtId="0" fontId="0" fillId="7" borderId="7" xfId="0" applyFill="1" applyBorder="1"/>
    <xf numFmtId="0" fontId="0" fillId="7" borderId="0" xfId="0" applyFill="1"/>
    <xf numFmtId="0" fontId="12" fillId="7" borderId="0" xfId="0" applyFont="1" applyFill="1"/>
    <xf numFmtId="0" fontId="11" fillId="7" borderId="0" xfId="0" applyFont="1" applyFill="1"/>
    <xf numFmtId="0" fontId="6" fillId="0" borderId="0" xfId="1"/>
    <xf numFmtId="0" fontId="6" fillId="3" borderId="0" xfId="1" applyFill="1"/>
    <xf numFmtId="0" fontId="6" fillId="3" borderId="0" xfId="1" applyFill="1" applyAlignment="1">
      <alignment horizontal="center"/>
    </xf>
    <xf numFmtId="0" fontId="6" fillId="0" borderId="0" xfId="1" applyAlignment="1"/>
    <xf numFmtId="3" fontId="0" fillId="3" borderId="2" xfId="0" applyNumberFormat="1" applyFill="1" applyBorder="1"/>
    <xf numFmtId="164" fontId="1" fillId="2" borderId="0" xfId="3" applyFont="1" applyFill="1" applyAlignment="1">
      <alignment horizontal="center" vertical="center" wrapText="1"/>
    </xf>
    <xf numFmtId="164" fontId="3" fillId="3" borderId="1" xfId="3" applyFont="1" applyFill="1" applyBorder="1" applyAlignment="1">
      <alignment horizontal="left" vertical="center"/>
    </xf>
    <xf numFmtId="164" fontId="3" fillId="3" borderId="2" xfId="3" applyFont="1" applyFill="1" applyBorder="1" applyAlignment="1">
      <alignment horizontal="left" vertical="center"/>
    </xf>
    <xf numFmtId="164" fontId="3" fillId="3" borderId="3" xfId="3" applyFont="1" applyFill="1" applyBorder="1" applyAlignment="1">
      <alignment horizontal="left" vertical="center"/>
    </xf>
    <xf numFmtId="164" fontId="11" fillId="3" borderId="1" xfId="3" applyFont="1" applyFill="1" applyBorder="1"/>
    <xf numFmtId="164" fontId="0" fillId="0" borderId="0" xfId="3" applyFont="1"/>
    <xf numFmtId="164" fontId="0" fillId="3" borderId="0" xfId="3" applyFont="1" applyFill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2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0" fontId="11" fillId="3" borderId="9" xfId="4" applyNumberFormat="1" applyFont="1" applyFill="1" applyBorder="1" applyAlignment="1">
      <alignment horizontal="center"/>
    </xf>
    <xf numFmtId="172" fontId="4" fillId="3" borderId="10" xfId="2" applyNumberFormat="1" applyFont="1" applyFill="1" applyBorder="1" applyAlignment="1">
      <alignment horizontal="center" vertical="center"/>
    </xf>
    <xf numFmtId="10" fontId="0" fillId="3" borderId="11" xfId="4" applyNumberFormat="1" applyFont="1" applyFill="1" applyBorder="1" applyAlignment="1">
      <alignment horizontal="center"/>
    </xf>
    <xf numFmtId="10" fontId="0" fillId="3" borderId="12" xfId="4" applyNumberFormat="1" applyFont="1" applyFill="1" applyBorder="1" applyAlignment="1">
      <alignment horizontal="center"/>
    </xf>
    <xf numFmtId="0" fontId="14" fillId="3" borderId="1" xfId="0" applyFont="1" applyFill="1" applyBorder="1"/>
    <xf numFmtId="164" fontId="0" fillId="3" borderId="1" xfId="3" applyFont="1" applyFill="1" applyBorder="1"/>
    <xf numFmtId="49" fontId="3" fillId="10" borderId="1" xfId="0" applyNumberFormat="1" applyFont="1" applyFill="1" applyBorder="1" applyAlignment="1">
      <alignment horizontal="left" vertical="center"/>
    </xf>
  </cellXfs>
  <cellStyles count="5">
    <cellStyle name="Hiperligação" xfId="1" builtinId="8"/>
    <cellStyle name="Moeda" xfId="3" builtinId="4"/>
    <cellStyle name="Normal" xfId="0" builtinId="0"/>
    <cellStyle name="Percentagem" xfId="4" builtinId="5"/>
    <cellStyle name="Vírgula" xfId="2" builtinId="3"/>
  </cellStyles>
  <dxfs count="0"/>
  <tableStyles count="0" defaultTableStyle="TableStyleMedium2" defaultPivotStyle="PivotStyleLight16"/>
  <colors>
    <mruColors>
      <color rgb="FF0000FF"/>
      <color rgb="FFFFFFCC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2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6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9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170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226" Type="http://schemas.openxmlformats.org/officeDocument/2006/relationships/hyperlink" Target="-" TargetMode="External"/><Relationship Id="rId268" Type="http://schemas.openxmlformats.org/officeDocument/2006/relationships/vmlDrawing" Target="../drawings/vmlDrawing1.vml"/><Relationship Id="rId1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3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53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4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28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49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95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60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1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6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37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8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2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43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18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139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8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0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1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2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6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7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8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269" Type="http://schemas.openxmlformats.org/officeDocument/2006/relationships/comments" Target="../comments1.xml"/><Relationship Id="rId12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3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08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129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54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75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6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40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161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2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7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238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3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119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44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86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30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1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2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3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7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8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9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1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109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260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55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7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20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1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62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183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8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39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0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24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45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7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0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131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2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3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4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08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9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0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61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4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3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56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0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98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121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2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3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184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9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30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25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46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8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11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2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153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4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5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09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0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1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15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3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57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262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7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9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01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22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43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4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185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210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6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231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2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47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9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12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3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154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5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6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0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16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21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42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3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58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2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123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144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90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65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186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1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2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3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27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48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13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4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8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55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6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7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1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22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243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4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7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38" Type="http://schemas.openxmlformats.org/officeDocument/2006/relationships/hyperlink" Target="https://earth.google.com/web/search/A+DEFINIR+-+ELDORADO+DO+CARAJAS/@-6.10130618,-49.38645125,132.08489807a,3593.41495385d,35y,0h,0t,0r/data=CiwiJgokCW1sITprhAPAEVxoH91ezwPAGZD9qRETXkvAIZjXKt-ZZ0vAQgIIAToDCgEwQgIIAEoICJfn8a8FEAA?authuser=0" TargetMode="External"/><Relationship Id="rId59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103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124" Type="http://schemas.openxmlformats.org/officeDocument/2006/relationships/hyperlink" Target="-" TargetMode="External"/><Relationship Id="rId7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1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45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6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187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12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3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4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28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49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14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60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35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6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177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198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2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23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4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18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39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265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50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04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25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146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7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188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7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2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213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4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255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40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115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36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7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178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61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2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99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3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19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24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5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6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30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05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26" Type="http://schemas.openxmlformats.org/officeDocument/2006/relationships/hyperlink" Target="-" TargetMode="External"/><Relationship Id="rId147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8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5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2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89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214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5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6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116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37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8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20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41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2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8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79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190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4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25" Type="http://schemas.openxmlformats.org/officeDocument/2006/relationships/hyperlink" Target="-" TargetMode="External"/><Relationship Id="rId246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7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106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127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0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31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5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3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4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48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9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180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5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36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7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42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8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38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91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5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247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107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P241"/>
  <sheetViews>
    <sheetView showGridLines="0" tabSelected="1" zoomScaleNormal="100" workbookViewId="0">
      <pane ySplit="1" topLeftCell="A226" activePane="bottomLeft" state="frozen"/>
      <selection pane="bottomLeft" activeCell="B241" sqref="B241"/>
    </sheetView>
  </sheetViews>
  <sheetFormatPr defaultRowHeight="14.4" outlineLevelCol="1" x14ac:dyDescent="0.3"/>
  <cols>
    <col min="1" max="1" width="15.21875" customWidth="1"/>
    <col min="2" max="2" width="58.44140625" style="18" bestFit="1" customWidth="1"/>
    <col min="3" max="3" width="27.77734375" hidden="1" customWidth="1" outlineLevel="1"/>
    <col min="4" max="4" width="22.44140625" customWidth="1" collapsed="1"/>
    <col min="5" max="5" width="10.5546875" bestFit="1" customWidth="1"/>
    <col min="6" max="6" width="18.21875" bestFit="1" customWidth="1"/>
    <col min="7" max="7" width="15.77734375" bestFit="1" customWidth="1"/>
    <col min="8" max="9" width="10.5546875" customWidth="1"/>
    <col min="10" max="10" width="11.77734375" customWidth="1"/>
    <col min="11" max="11" width="17.44140625" bestFit="1" customWidth="1"/>
    <col min="12" max="12" width="26.21875" bestFit="1" customWidth="1"/>
    <col min="13" max="13" width="26.21875" style="108" customWidth="1"/>
    <col min="14" max="14" width="53.33203125" bestFit="1" customWidth="1"/>
    <col min="15" max="15" width="14.109375" style="29" bestFit="1" customWidth="1"/>
    <col min="16" max="16" width="10.77734375" bestFit="1" customWidth="1"/>
    <col min="17" max="17" width="5.21875" bestFit="1" customWidth="1"/>
    <col min="18" max="18" width="9.88671875" bestFit="1" customWidth="1"/>
    <col min="19" max="19" width="12.77734375" customWidth="1"/>
    <col min="20" max="20" width="11.5546875" customWidth="1"/>
    <col min="21" max="21" width="11.21875" customWidth="1"/>
    <col min="22" max="22" width="14" customWidth="1"/>
    <col min="23" max="23" width="10.21875" customWidth="1"/>
    <col min="24" max="24" width="10.77734375" customWidth="1"/>
    <col min="25" max="25" width="12.77734375" customWidth="1"/>
    <col min="26" max="26" width="12" customWidth="1"/>
    <col min="27" max="27" width="11.5546875" customWidth="1"/>
    <col min="28" max="28" width="14.21875" bestFit="1" customWidth="1"/>
    <col min="29" max="29" width="15.6640625" bestFit="1" customWidth="1"/>
    <col min="30" max="30" width="11.77734375" customWidth="1"/>
    <col min="31" max="31" width="11.21875" customWidth="1"/>
    <col min="32" max="32" width="12.21875" customWidth="1"/>
    <col min="33" max="33" width="8.77734375" bestFit="1" customWidth="1"/>
    <col min="34" max="34" width="8.5546875" bestFit="1" customWidth="1"/>
    <col min="35" max="36" width="9.5546875" customWidth="1"/>
    <col min="37" max="38" width="9" customWidth="1"/>
    <col min="39" max="39" width="16" bestFit="1" customWidth="1"/>
    <col min="40" max="41" width="12.77734375" customWidth="1"/>
    <col min="42" max="42" width="12.5546875" bestFit="1" customWidth="1"/>
  </cols>
  <sheetData>
    <row r="1" spans="1:42" ht="52.8" x14ac:dyDescent="0.3">
      <c r="A1" s="1" t="s">
        <v>571</v>
      </c>
      <c r="B1" s="3" t="s">
        <v>0</v>
      </c>
      <c r="C1" s="1" t="s">
        <v>468</v>
      </c>
      <c r="D1" s="2" t="s">
        <v>551</v>
      </c>
      <c r="E1" s="1" t="s">
        <v>1</v>
      </c>
      <c r="F1" s="2" t="s">
        <v>700</v>
      </c>
      <c r="G1" s="1" t="s">
        <v>697</v>
      </c>
      <c r="H1" s="2" t="s">
        <v>695</v>
      </c>
      <c r="I1" s="2" t="s">
        <v>696</v>
      </c>
      <c r="J1" s="2" t="s">
        <v>688</v>
      </c>
      <c r="K1" s="2" t="s">
        <v>2</v>
      </c>
      <c r="L1" s="3" t="s">
        <v>3</v>
      </c>
      <c r="M1" s="103" t="s">
        <v>733</v>
      </c>
      <c r="N1" s="3" t="s">
        <v>4</v>
      </c>
      <c r="O1" s="2" t="s">
        <v>713</v>
      </c>
      <c r="P1" s="3" t="s">
        <v>5</v>
      </c>
      <c r="Q1" s="2" t="s">
        <v>6</v>
      </c>
      <c r="R1" s="21" t="s">
        <v>7</v>
      </c>
      <c r="S1" s="21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692</v>
      </c>
      <c r="AC1" s="2" t="s">
        <v>733</v>
      </c>
      <c r="AD1" s="21" t="s">
        <v>17</v>
      </c>
      <c r="AE1" s="2" t="s">
        <v>18</v>
      </c>
      <c r="AF1" s="2" t="s">
        <v>19</v>
      </c>
      <c r="AG1" s="21" t="s">
        <v>690</v>
      </c>
      <c r="AH1" s="21" t="s">
        <v>20</v>
      </c>
      <c r="AI1" s="2" t="s">
        <v>21</v>
      </c>
      <c r="AJ1" s="2" t="s">
        <v>691</v>
      </c>
      <c r="AK1" s="2" t="s">
        <v>22</v>
      </c>
      <c r="AL1" s="2" t="s">
        <v>23</v>
      </c>
      <c r="AM1" s="2" t="s">
        <v>693</v>
      </c>
      <c r="AN1" s="2" t="s">
        <v>694</v>
      </c>
      <c r="AO1" s="2" t="s">
        <v>702</v>
      </c>
      <c r="AP1" s="2" t="s">
        <v>689</v>
      </c>
    </row>
    <row r="2" spans="1:42" x14ac:dyDescent="0.3">
      <c r="A2" t="s">
        <v>579</v>
      </c>
      <c r="B2" s="6" t="s">
        <v>555</v>
      </c>
      <c r="C2" s="15" t="s">
        <v>552</v>
      </c>
      <c r="D2" s="5" t="s">
        <v>550</v>
      </c>
      <c r="E2" s="19">
        <v>0</v>
      </c>
      <c r="F2" s="17"/>
      <c r="G2" s="17"/>
      <c r="H2" s="17"/>
      <c r="I2" s="17"/>
      <c r="J2" s="16">
        <v>136</v>
      </c>
      <c r="K2" s="5" t="s">
        <v>24</v>
      </c>
      <c r="L2" s="6" t="s">
        <v>25</v>
      </c>
      <c r="M2" s="104">
        <v>84310</v>
      </c>
      <c r="N2" s="6" t="s">
        <v>26</v>
      </c>
      <c r="O2" s="5" t="s">
        <v>715</v>
      </c>
      <c r="P2" s="6" t="s">
        <v>27</v>
      </c>
      <c r="Q2" s="7" t="s">
        <v>28</v>
      </c>
      <c r="R2" s="8">
        <v>1</v>
      </c>
      <c r="S2" s="8">
        <v>0</v>
      </c>
      <c r="T2" s="9">
        <f>SUM(R2:S2)</f>
        <v>1</v>
      </c>
      <c r="U2" s="8"/>
      <c r="V2" s="8"/>
      <c r="W2" s="8"/>
      <c r="X2" s="10">
        <v>0</v>
      </c>
      <c r="Y2" s="8">
        <v>0</v>
      </c>
      <c r="Z2" s="11" t="s">
        <v>28</v>
      </c>
      <c r="AA2" s="12"/>
      <c r="AB2" s="22">
        <f>AH2*AI2</f>
        <v>136646.78</v>
      </c>
      <c r="AC2" s="22"/>
      <c r="AD2" s="4">
        <v>0</v>
      </c>
      <c r="AE2" s="14">
        <f>IF(AK2=0,0,AD2/AK2)</f>
        <v>0</v>
      </c>
      <c r="AF2" s="13">
        <f>(AG2*AH2*AI2)/10^6</f>
        <v>10.931742400000001</v>
      </c>
      <c r="AG2" s="4">
        <v>80</v>
      </c>
      <c r="AH2" s="4">
        <v>221.82918831168831</v>
      </c>
      <c r="AI2" s="4">
        <v>616</v>
      </c>
      <c r="AJ2" s="4">
        <v>270.47838229338447</v>
      </c>
      <c r="AK2" s="13">
        <f>(AJ2*AI2*AH2)/10^6</f>
        <v>36.960000000000008</v>
      </c>
      <c r="AL2" s="13">
        <f t="shared" ref="AL2:AL65" si="0">AK2*R2</f>
        <v>36.960000000000008</v>
      </c>
      <c r="AM2" s="20">
        <v>60000.000000000007</v>
      </c>
      <c r="AN2" s="20">
        <f>AG2*AH2</f>
        <v>17746.335064935065</v>
      </c>
      <c r="AO2" s="23">
        <f>R2+Y2</f>
        <v>1</v>
      </c>
      <c r="AP2" s="24">
        <f>AK2*AO2/(AF2+AD2)</f>
        <v>3.3809797786673061</v>
      </c>
    </row>
    <row r="3" spans="1:42" x14ac:dyDescent="0.3">
      <c r="A3" t="s">
        <v>580</v>
      </c>
      <c r="B3" s="6" t="s">
        <v>561</v>
      </c>
      <c r="C3" s="15" t="s">
        <v>470</v>
      </c>
      <c r="D3" s="5" t="s">
        <v>550</v>
      </c>
      <c r="E3" s="19">
        <v>1</v>
      </c>
      <c r="F3" s="17"/>
      <c r="G3" s="17"/>
      <c r="H3" s="17">
        <v>4</v>
      </c>
      <c r="I3" s="17"/>
      <c r="J3" s="16">
        <v>137</v>
      </c>
      <c r="K3" s="5" t="s">
        <v>24</v>
      </c>
      <c r="L3" s="6" t="s">
        <v>29</v>
      </c>
      <c r="M3" s="104">
        <v>6000</v>
      </c>
      <c r="N3" s="6" t="s">
        <v>30</v>
      </c>
      <c r="O3" s="5" t="s">
        <v>714</v>
      </c>
      <c r="P3" s="6" t="s">
        <v>27</v>
      </c>
      <c r="Q3" s="7" t="s">
        <v>28</v>
      </c>
      <c r="R3" s="8">
        <v>1</v>
      </c>
      <c r="S3" s="8">
        <v>0</v>
      </c>
      <c r="T3" s="9">
        <f t="shared" ref="T3:T66" si="1">SUM(R3:S3)</f>
        <v>1</v>
      </c>
      <c r="U3" s="8"/>
      <c r="V3" s="8"/>
      <c r="W3" s="8"/>
      <c r="X3" s="10">
        <v>0</v>
      </c>
      <c r="Y3" s="8">
        <v>0</v>
      </c>
      <c r="Z3" s="11" t="s">
        <v>28</v>
      </c>
      <c r="AA3" s="12"/>
      <c r="AB3" s="22">
        <f t="shared" ref="AB3:AB66" si="2">AH3*AI3</f>
        <v>11175.269999999999</v>
      </c>
      <c r="AC3" s="22"/>
      <c r="AD3" s="4">
        <v>0</v>
      </c>
      <c r="AE3" s="14">
        <f t="shared" ref="AE3:AE66" si="3">IF(AK3=0,0,AD3/AK3)</f>
        <v>0</v>
      </c>
      <c r="AF3" s="13">
        <f t="shared" ref="AF3:AF66" si="4">(AG3*AH3*AI3)/10^6</f>
        <v>0.89402159999999986</v>
      </c>
      <c r="AG3" s="4">
        <v>80</v>
      </c>
      <c r="AH3" s="4">
        <v>259.89</v>
      </c>
      <c r="AI3" s="4">
        <v>43</v>
      </c>
      <c r="AJ3" s="4">
        <v>384.77817538189237</v>
      </c>
      <c r="AK3" s="13">
        <f t="shared" ref="AK3:AK66" si="5">(AJ3*AI3*AH3)/10^6</f>
        <v>4.3</v>
      </c>
      <c r="AL3" s="13">
        <f t="shared" si="0"/>
        <v>4.3</v>
      </c>
      <c r="AM3" s="20">
        <v>100000</v>
      </c>
      <c r="AN3" s="20">
        <f t="shared" ref="AN3:AN66" si="6">AG3*AH3</f>
        <v>20791.199999999997</v>
      </c>
      <c r="AO3" s="23">
        <f t="shared" ref="AO3:AO66" si="7">R3+Y3</f>
        <v>1</v>
      </c>
      <c r="AP3" s="24">
        <f t="shared" ref="AP3:AP66" si="8">AK3*AO3/(AF3+AD3)</f>
        <v>4.8097271922736544</v>
      </c>
    </row>
    <row r="4" spans="1:42" x14ac:dyDescent="0.3">
      <c r="A4" t="s">
        <v>580</v>
      </c>
      <c r="B4" s="6" t="s">
        <v>562</v>
      </c>
      <c r="C4" s="15" t="s">
        <v>470</v>
      </c>
      <c r="D4" s="5" t="s">
        <v>550</v>
      </c>
      <c r="E4" s="19">
        <v>1</v>
      </c>
      <c r="F4" s="17"/>
      <c r="G4" s="17"/>
      <c r="H4" s="17">
        <v>4</v>
      </c>
      <c r="I4" s="17"/>
      <c r="J4" s="16">
        <v>138</v>
      </c>
      <c r="K4" s="5" t="s">
        <v>24</v>
      </c>
      <c r="L4" s="6" t="s">
        <v>29</v>
      </c>
      <c r="M4" s="104">
        <v>6000</v>
      </c>
      <c r="N4" s="6" t="s">
        <v>31</v>
      </c>
      <c r="O4" s="5" t="s">
        <v>714</v>
      </c>
      <c r="P4" s="6" t="s">
        <v>27</v>
      </c>
      <c r="Q4" s="7" t="s">
        <v>28</v>
      </c>
      <c r="R4" s="8">
        <v>1</v>
      </c>
      <c r="S4" s="8">
        <v>0</v>
      </c>
      <c r="T4" s="9">
        <f t="shared" si="1"/>
        <v>1</v>
      </c>
      <c r="U4" s="8"/>
      <c r="V4" s="8"/>
      <c r="W4" s="8"/>
      <c r="X4" s="10">
        <v>0</v>
      </c>
      <c r="Y4" s="8">
        <v>0</v>
      </c>
      <c r="Z4" s="11" t="s">
        <v>28</v>
      </c>
      <c r="AA4" s="12"/>
      <c r="AB4" s="22">
        <f t="shared" si="2"/>
        <v>21556.5</v>
      </c>
      <c r="AC4" s="22"/>
      <c r="AD4" s="4">
        <v>0</v>
      </c>
      <c r="AE4" s="14">
        <f t="shared" si="3"/>
        <v>0</v>
      </c>
      <c r="AF4" s="13">
        <f t="shared" si="4"/>
        <v>1.7245200000000001</v>
      </c>
      <c r="AG4" s="4">
        <v>80</v>
      </c>
      <c r="AH4" s="4">
        <v>279.95454545454544</v>
      </c>
      <c r="AI4" s="4">
        <v>77</v>
      </c>
      <c r="AJ4" s="4">
        <v>428.64101315148565</v>
      </c>
      <c r="AK4" s="13">
        <f t="shared" si="5"/>
        <v>9.24</v>
      </c>
      <c r="AL4" s="13">
        <f t="shared" si="0"/>
        <v>9.24</v>
      </c>
      <c r="AM4" s="20">
        <v>120000</v>
      </c>
      <c r="AN4" s="20">
        <f t="shared" si="6"/>
        <v>22396.363636363636</v>
      </c>
      <c r="AO4" s="23">
        <f t="shared" si="7"/>
        <v>1</v>
      </c>
      <c r="AP4" s="24">
        <f t="shared" si="8"/>
        <v>5.3580126643935699</v>
      </c>
    </row>
    <row r="5" spans="1:42" x14ac:dyDescent="0.3">
      <c r="A5" t="s">
        <v>581</v>
      </c>
      <c r="B5" s="6" t="s">
        <v>563</v>
      </c>
      <c r="C5" s="15" t="s">
        <v>553</v>
      </c>
      <c r="D5" s="5" t="s">
        <v>550</v>
      </c>
      <c r="E5" s="19">
        <v>1</v>
      </c>
      <c r="F5" s="17"/>
      <c r="G5" s="17"/>
      <c r="H5" s="17"/>
      <c r="I5" s="17"/>
      <c r="J5" s="16">
        <v>139</v>
      </c>
      <c r="K5" s="5" t="s">
        <v>24</v>
      </c>
      <c r="L5" s="6" t="s">
        <v>32</v>
      </c>
      <c r="M5" s="104">
        <v>666666.66666666663</v>
      </c>
      <c r="N5" s="6" t="s">
        <v>33</v>
      </c>
      <c r="O5" s="5" t="s">
        <v>714</v>
      </c>
      <c r="P5" s="6" t="s">
        <v>27</v>
      </c>
      <c r="Q5" s="7">
        <v>2026</v>
      </c>
      <c r="R5" s="8">
        <v>1</v>
      </c>
      <c r="S5" s="8">
        <v>0</v>
      </c>
      <c r="T5" s="9">
        <f t="shared" si="1"/>
        <v>1</v>
      </c>
      <c r="U5" s="8"/>
      <c r="V5" s="8"/>
      <c r="W5" s="8"/>
      <c r="X5" s="10">
        <v>0</v>
      </c>
      <c r="Y5" s="8">
        <v>0</v>
      </c>
      <c r="Z5" s="11">
        <v>46387</v>
      </c>
      <c r="AA5" s="12"/>
      <c r="AB5" s="22">
        <f t="shared" si="2"/>
        <v>297407.69</v>
      </c>
      <c r="AC5" s="22"/>
      <c r="AD5" s="4">
        <v>0</v>
      </c>
      <c r="AE5" s="14">
        <f t="shared" si="3"/>
        <v>0</v>
      </c>
      <c r="AF5" s="13">
        <f t="shared" si="4"/>
        <v>39.584963539</v>
      </c>
      <c r="AG5" s="4">
        <v>133.1</v>
      </c>
      <c r="AH5" s="4">
        <v>216.61157319737799</v>
      </c>
      <c r="AI5" s="4">
        <v>1373</v>
      </c>
      <c r="AJ5" s="4">
        <v>600</v>
      </c>
      <c r="AK5" s="13">
        <f t="shared" si="5"/>
        <v>178.444614</v>
      </c>
      <c r="AL5" s="13">
        <f t="shared" si="0"/>
        <v>178.444614</v>
      </c>
      <c r="AM5" s="20">
        <v>129966.9439184268</v>
      </c>
      <c r="AN5" s="20">
        <f t="shared" si="6"/>
        <v>28831.000392571008</v>
      </c>
      <c r="AO5" s="23">
        <f t="shared" si="7"/>
        <v>1</v>
      </c>
      <c r="AP5" s="24">
        <f t="shared" si="8"/>
        <v>4.5078888054094666</v>
      </c>
    </row>
    <row r="6" spans="1:42" x14ac:dyDescent="0.3">
      <c r="A6" t="s">
        <v>582</v>
      </c>
      <c r="B6" s="6" t="s">
        <v>564</v>
      </c>
      <c r="C6" s="15" t="s">
        <v>553</v>
      </c>
      <c r="D6" s="5" t="s">
        <v>550</v>
      </c>
      <c r="E6" s="19">
        <v>0</v>
      </c>
      <c r="F6" s="17"/>
      <c r="G6" s="17"/>
      <c r="H6" s="17"/>
      <c r="I6" s="17"/>
      <c r="J6" s="16">
        <v>140</v>
      </c>
      <c r="K6" s="5" t="s">
        <v>24</v>
      </c>
      <c r="L6" s="6" t="s">
        <v>32</v>
      </c>
      <c r="M6" s="104">
        <v>666666.66666666663</v>
      </c>
      <c r="N6" s="6" t="s">
        <v>34</v>
      </c>
      <c r="O6" s="5" t="s">
        <v>715</v>
      </c>
      <c r="P6" s="6" t="s">
        <v>27</v>
      </c>
      <c r="Q6" s="7">
        <v>2028</v>
      </c>
      <c r="R6" s="8">
        <v>0.9</v>
      </c>
      <c r="S6" s="8">
        <v>0</v>
      </c>
      <c r="T6" s="9">
        <f t="shared" si="1"/>
        <v>0.9</v>
      </c>
      <c r="U6" s="8"/>
      <c r="V6" s="8"/>
      <c r="W6" s="8"/>
      <c r="X6" s="10">
        <v>0</v>
      </c>
      <c r="Y6" s="8">
        <v>9.9999999999999978E-2</v>
      </c>
      <c r="Z6" s="11">
        <v>47118</v>
      </c>
      <c r="AA6" s="12"/>
      <c r="AB6" s="22">
        <f t="shared" si="2"/>
        <v>197371.09310850437</v>
      </c>
      <c r="AC6" s="22"/>
      <c r="AD6" s="4">
        <v>0</v>
      </c>
      <c r="AE6" s="14">
        <f t="shared" si="3"/>
        <v>0</v>
      </c>
      <c r="AF6" s="13">
        <f t="shared" si="4"/>
        <v>26.270092492741931</v>
      </c>
      <c r="AG6" s="4">
        <v>133.1</v>
      </c>
      <c r="AH6" s="4">
        <v>219.30121456500487</v>
      </c>
      <c r="AI6" s="4">
        <v>900</v>
      </c>
      <c r="AJ6" s="4">
        <v>600</v>
      </c>
      <c r="AK6" s="13">
        <f t="shared" si="5"/>
        <v>118.42265586510264</v>
      </c>
      <c r="AL6" s="13">
        <f t="shared" si="0"/>
        <v>106.58039027859238</v>
      </c>
      <c r="AM6" s="20">
        <v>131580.72873900292</v>
      </c>
      <c r="AN6" s="20">
        <f t="shared" si="6"/>
        <v>29188.991658602146</v>
      </c>
      <c r="AO6" s="23">
        <f t="shared" si="7"/>
        <v>1</v>
      </c>
      <c r="AP6" s="24">
        <f t="shared" si="8"/>
        <v>4.5078888054094675</v>
      </c>
    </row>
    <row r="7" spans="1:42" x14ac:dyDescent="0.3">
      <c r="A7" t="s">
        <v>582</v>
      </c>
      <c r="B7" s="6" t="s">
        <v>565</v>
      </c>
      <c r="C7" s="15" t="s">
        <v>553</v>
      </c>
      <c r="D7" s="5" t="s">
        <v>550</v>
      </c>
      <c r="E7" s="19">
        <v>0</v>
      </c>
      <c r="F7" s="17"/>
      <c r="G7" s="17"/>
      <c r="H7" s="17"/>
      <c r="I7" s="17"/>
      <c r="J7" s="16">
        <v>141</v>
      </c>
      <c r="K7" s="5" t="s">
        <v>24</v>
      </c>
      <c r="L7" s="6" t="s">
        <v>32</v>
      </c>
      <c r="M7" s="104">
        <v>666666.66666666663</v>
      </c>
      <c r="N7" s="6" t="s">
        <v>35</v>
      </c>
      <c r="O7" s="5" t="s">
        <v>715</v>
      </c>
      <c r="P7" s="6" t="s">
        <v>27</v>
      </c>
      <c r="Q7" s="7">
        <v>2029</v>
      </c>
      <c r="R7" s="8">
        <v>0.9</v>
      </c>
      <c r="S7" s="8">
        <v>0</v>
      </c>
      <c r="T7" s="9">
        <f t="shared" si="1"/>
        <v>0.9</v>
      </c>
      <c r="U7" s="8"/>
      <c r="V7" s="8"/>
      <c r="W7" s="8"/>
      <c r="X7" s="10">
        <v>0</v>
      </c>
      <c r="Y7" s="8">
        <v>9.9999999999999978E-2</v>
      </c>
      <c r="Z7" s="11">
        <v>47483</v>
      </c>
      <c r="AA7" s="12"/>
      <c r="AB7" s="22">
        <f t="shared" si="2"/>
        <v>174125.16436461385</v>
      </c>
      <c r="AC7" s="22"/>
      <c r="AD7" s="4">
        <v>0</v>
      </c>
      <c r="AE7" s="14">
        <f t="shared" si="3"/>
        <v>0</v>
      </c>
      <c r="AF7" s="13">
        <f t="shared" si="4"/>
        <v>23.176059376930102</v>
      </c>
      <c r="AG7" s="4">
        <v>133.1</v>
      </c>
      <c r="AH7" s="4">
        <v>219.30121456500484</v>
      </c>
      <c r="AI7" s="4">
        <v>794</v>
      </c>
      <c r="AJ7" s="4">
        <v>600</v>
      </c>
      <c r="AK7" s="13">
        <f t="shared" si="5"/>
        <v>104.4750986187683</v>
      </c>
      <c r="AL7" s="13">
        <f t="shared" si="0"/>
        <v>94.027588756891475</v>
      </c>
      <c r="AM7" s="20">
        <v>131580.72873900289</v>
      </c>
      <c r="AN7" s="20">
        <f t="shared" si="6"/>
        <v>29188.991658602143</v>
      </c>
      <c r="AO7" s="23">
        <f t="shared" si="7"/>
        <v>1</v>
      </c>
      <c r="AP7" s="24">
        <f t="shared" si="8"/>
        <v>4.5078888054094666</v>
      </c>
    </row>
    <row r="8" spans="1:42" x14ac:dyDescent="0.3">
      <c r="A8" t="s">
        <v>582</v>
      </c>
      <c r="B8" s="6" t="s">
        <v>566</v>
      </c>
      <c r="C8" s="15" t="s">
        <v>553</v>
      </c>
      <c r="D8" s="5" t="s">
        <v>550</v>
      </c>
      <c r="E8" s="19">
        <v>0</v>
      </c>
      <c r="F8" s="17"/>
      <c r="G8" s="17"/>
      <c r="H8" s="17"/>
      <c r="I8" s="17"/>
      <c r="J8" s="16">
        <v>142</v>
      </c>
      <c r="K8" s="5" t="s">
        <v>24</v>
      </c>
      <c r="L8" s="6" t="s">
        <v>32</v>
      </c>
      <c r="M8" s="104">
        <v>666666.66666666663</v>
      </c>
      <c r="N8" s="6" t="s">
        <v>36</v>
      </c>
      <c r="O8" s="5" t="s">
        <v>715</v>
      </c>
      <c r="P8" s="6" t="s">
        <v>27</v>
      </c>
      <c r="Q8" s="7">
        <v>2030</v>
      </c>
      <c r="R8" s="8">
        <v>0.9</v>
      </c>
      <c r="S8" s="8">
        <v>0</v>
      </c>
      <c r="T8" s="9">
        <f t="shared" si="1"/>
        <v>0.9</v>
      </c>
      <c r="U8" s="8"/>
      <c r="V8" s="8"/>
      <c r="W8" s="8"/>
      <c r="X8" s="10">
        <v>0</v>
      </c>
      <c r="Y8" s="8">
        <v>9.9999999999999978E-2</v>
      </c>
      <c r="Z8" s="11">
        <v>47848</v>
      </c>
      <c r="AA8" s="12"/>
      <c r="AB8" s="22">
        <f t="shared" si="2"/>
        <v>183116.51416177908</v>
      </c>
      <c r="AC8" s="22"/>
      <c r="AD8" s="4">
        <v>0</v>
      </c>
      <c r="AE8" s="14">
        <f t="shared" si="3"/>
        <v>0</v>
      </c>
      <c r="AF8" s="13">
        <f t="shared" si="4"/>
        <v>24.372808034932795</v>
      </c>
      <c r="AG8" s="4">
        <v>133.1</v>
      </c>
      <c r="AH8" s="4">
        <v>219.3012145650049</v>
      </c>
      <c r="AI8" s="4">
        <v>835</v>
      </c>
      <c r="AJ8" s="4">
        <v>600.00000000000011</v>
      </c>
      <c r="AK8" s="13">
        <f t="shared" si="5"/>
        <v>109.86990849706748</v>
      </c>
      <c r="AL8" s="13">
        <f t="shared" si="0"/>
        <v>98.882917647360742</v>
      </c>
      <c r="AM8" s="20">
        <v>131580.72873900295</v>
      </c>
      <c r="AN8" s="20">
        <f t="shared" si="6"/>
        <v>29188.99165860215</v>
      </c>
      <c r="AO8" s="23">
        <f t="shared" si="7"/>
        <v>1</v>
      </c>
      <c r="AP8" s="24">
        <f t="shared" si="8"/>
        <v>4.5078888054094683</v>
      </c>
    </row>
    <row r="9" spans="1:42" x14ac:dyDescent="0.3">
      <c r="A9" t="s">
        <v>582</v>
      </c>
      <c r="B9" s="6" t="s">
        <v>567</v>
      </c>
      <c r="C9" s="15" t="s">
        <v>553</v>
      </c>
      <c r="D9" s="5" t="s">
        <v>550</v>
      </c>
      <c r="E9" s="19">
        <v>0</v>
      </c>
      <c r="F9" s="17"/>
      <c r="G9" s="17"/>
      <c r="H9" s="17"/>
      <c r="I9" s="17"/>
      <c r="J9" s="16">
        <v>143</v>
      </c>
      <c r="K9" s="5" t="s">
        <v>24</v>
      </c>
      <c r="L9" s="6" t="s">
        <v>32</v>
      </c>
      <c r="M9" s="104">
        <v>666666.66666666663</v>
      </c>
      <c r="N9" s="6" t="s">
        <v>37</v>
      </c>
      <c r="O9" s="5" t="s">
        <v>715</v>
      </c>
      <c r="P9" s="6" t="s">
        <v>27</v>
      </c>
      <c r="Q9" s="7">
        <v>2031</v>
      </c>
      <c r="R9" s="8">
        <v>0.9</v>
      </c>
      <c r="S9" s="8">
        <v>0</v>
      </c>
      <c r="T9" s="9">
        <f t="shared" si="1"/>
        <v>0.9</v>
      </c>
      <c r="U9" s="8"/>
      <c r="V9" s="8"/>
      <c r="W9" s="8"/>
      <c r="X9" s="10">
        <v>0</v>
      </c>
      <c r="Y9" s="8">
        <v>9.9999999999999978E-2</v>
      </c>
      <c r="Z9" s="11">
        <v>48213</v>
      </c>
      <c r="AA9" s="12"/>
      <c r="AB9" s="22">
        <f t="shared" si="2"/>
        <v>183116.51416177908</v>
      </c>
      <c r="AC9" s="22"/>
      <c r="AD9" s="4">
        <v>0</v>
      </c>
      <c r="AE9" s="14">
        <f t="shared" si="3"/>
        <v>0</v>
      </c>
      <c r="AF9" s="13">
        <f t="shared" si="4"/>
        <v>24.372808034932795</v>
      </c>
      <c r="AG9" s="4">
        <v>133.1</v>
      </c>
      <c r="AH9" s="4">
        <v>219.3012145650049</v>
      </c>
      <c r="AI9" s="4">
        <v>835</v>
      </c>
      <c r="AJ9" s="4">
        <v>600.00000000000011</v>
      </c>
      <c r="AK9" s="13">
        <f t="shared" si="5"/>
        <v>109.86990849706748</v>
      </c>
      <c r="AL9" s="13">
        <f t="shared" si="0"/>
        <v>98.882917647360742</v>
      </c>
      <c r="AM9" s="20">
        <v>131580.72873900295</v>
      </c>
      <c r="AN9" s="20">
        <f t="shared" si="6"/>
        <v>29188.99165860215</v>
      </c>
      <c r="AO9" s="23">
        <f t="shared" si="7"/>
        <v>1</v>
      </c>
      <c r="AP9" s="24">
        <f t="shared" si="8"/>
        <v>4.5078888054094683</v>
      </c>
    </row>
    <row r="10" spans="1:42" x14ac:dyDescent="0.3">
      <c r="A10" t="s">
        <v>582</v>
      </c>
      <c r="B10" s="6" t="s">
        <v>568</v>
      </c>
      <c r="C10" s="15" t="s">
        <v>553</v>
      </c>
      <c r="D10" s="5" t="s">
        <v>550</v>
      </c>
      <c r="E10" s="19">
        <v>0</v>
      </c>
      <c r="F10" s="17"/>
      <c r="G10" s="17"/>
      <c r="H10" s="17"/>
      <c r="I10" s="17"/>
      <c r="J10" s="16">
        <v>144</v>
      </c>
      <c r="K10" s="5" t="s">
        <v>24</v>
      </c>
      <c r="L10" s="6" t="s">
        <v>32</v>
      </c>
      <c r="M10" s="104">
        <v>666666.66666666663</v>
      </c>
      <c r="N10" s="6" t="s">
        <v>38</v>
      </c>
      <c r="O10" s="5" t="s">
        <v>715</v>
      </c>
      <c r="P10" s="6" t="s">
        <v>27</v>
      </c>
      <c r="Q10" s="7">
        <v>2032</v>
      </c>
      <c r="R10" s="8">
        <v>0.9</v>
      </c>
      <c r="S10" s="8">
        <v>0</v>
      </c>
      <c r="T10" s="9">
        <f t="shared" si="1"/>
        <v>0.9</v>
      </c>
      <c r="U10" s="8"/>
      <c r="V10" s="8"/>
      <c r="W10" s="8"/>
      <c r="X10" s="10">
        <v>0</v>
      </c>
      <c r="Y10" s="8">
        <v>9.9999999999999978E-2</v>
      </c>
      <c r="Z10" s="11">
        <v>48579</v>
      </c>
      <c r="AA10" s="12"/>
      <c r="AB10" s="22">
        <f t="shared" si="2"/>
        <v>183116.51416177908</v>
      </c>
      <c r="AC10" s="22"/>
      <c r="AD10" s="4">
        <v>0</v>
      </c>
      <c r="AE10" s="14">
        <f t="shared" si="3"/>
        <v>0</v>
      </c>
      <c r="AF10" s="13">
        <f t="shared" si="4"/>
        <v>24.372808034932795</v>
      </c>
      <c r="AG10" s="4">
        <v>133.1</v>
      </c>
      <c r="AH10" s="4">
        <v>219.3012145650049</v>
      </c>
      <c r="AI10" s="4">
        <v>835</v>
      </c>
      <c r="AJ10" s="4">
        <v>600.00000000000011</v>
      </c>
      <c r="AK10" s="13">
        <f t="shared" si="5"/>
        <v>109.86990849706748</v>
      </c>
      <c r="AL10" s="13">
        <f t="shared" si="0"/>
        <v>98.882917647360742</v>
      </c>
      <c r="AM10" s="20">
        <v>131580.72873900295</v>
      </c>
      <c r="AN10" s="20">
        <f t="shared" si="6"/>
        <v>29188.99165860215</v>
      </c>
      <c r="AO10" s="23">
        <f t="shared" si="7"/>
        <v>1</v>
      </c>
      <c r="AP10" s="24">
        <f t="shared" si="8"/>
        <v>4.5078888054094683</v>
      </c>
    </row>
    <row r="11" spans="1:42" x14ac:dyDescent="0.3">
      <c r="A11" t="s">
        <v>573</v>
      </c>
      <c r="B11" s="6" t="s">
        <v>554</v>
      </c>
      <c r="C11" s="15" t="s">
        <v>471</v>
      </c>
      <c r="D11" s="5" t="s">
        <v>550</v>
      </c>
      <c r="E11" s="19">
        <v>1</v>
      </c>
      <c r="F11" s="17"/>
      <c r="G11" s="17"/>
      <c r="H11" s="17"/>
      <c r="I11" s="17"/>
      <c r="J11" s="16">
        <v>145</v>
      </c>
      <c r="K11" s="5" t="s">
        <v>24</v>
      </c>
      <c r="L11" s="6" t="s">
        <v>39</v>
      </c>
      <c r="M11" s="104"/>
      <c r="N11" s="6" t="s">
        <v>40</v>
      </c>
      <c r="O11" s="5" t="s">
        <v>715</v>
      </c>
      <c r="P11" s="6" t="s">
        <v>27</v>
      </c>
      <c r="Q11" s="7" t="s">
        <v>28</v>
      </c>
      <c r="R11" s="8">
        <v>1</v>
      </c>
      <c r="S11" s="8">
        <v>0</v>
      </c>
      <c r="T11" s="9">
        <f t="shared" si="1"/>
        <v>1</v>
      </c>
      <c r="U11" s="8"/>
      <c r="V11" s="8"/>
      <c r="W11" s="8"/>
      <c r="X11" s="10">
        <v>0</v>
      </c>
      <c r="Y11" s="8">
        <v>0</v>
      </c>
      <c r="Z11" s="11" t="s">
        <v>28</v>
      </c>
      <c r="AA11" s="12"/>
      <c r="AB11" s="22">
        <f t="shared" si="2"/>
        <v>43078.78</v>
      </c>
      <c r="AC11" s="22"/>
      <c r="AD11" s="4">
        <v>0</v>
      </c>
      <c r="AE11" s="14">
        <f t="shared" si="3"/>
        <v>0</v>
      </c>
      <c r="AF11" s="13">
        <f t="shared" si="4"/>
        <v>0</v>
      </c>
      <c r="AG11" s="4">
        <v>0</v>
      </c>
      <c r="AH11" s="4">
        <v>2393.2655555555557</v>
      </c>
      <c r="AI11" s="4">
        <v>18</v>
      </c>
      <c r="AJ11" s="4">
        <v>334.27130480482498</v>
      </c>
      <c r="AK11" s="13">
        <f t="shared" si="5"/>
        <v>14.399999999999999</v>
      </c>
      <c r="AL11" s="13">
        <f t="shared" si="0"/>
        <v>14.399999999999999</v>
      </c>
      <c r="AM11" s="20">
        <v>800000</v>
      </c>
      <c r="AN11" s="20">
        <f t="shared" si="6"/>
        <v>0</v>
      </c>
      <c r="AO11" s="23">
        <f t="shared" si="7"/>
        <v>1</v>
      </c>
      <c r="AP11" s="24" t="e">
        <f t="shared" si="8"/>
        <v>#DIV/0!</v>
      </c>
    </row>
    <row r="12" spans="1:42" x14ac:dyDescent="0.3">
      <c r="A12" t="s">
        <v>574</v>
      </c>
      <c r="B12" s="6" t="s">
        <v>267</v>
      </c>
      <c r="C12" s="15" t="s">
        <v>471</v>
      </c>
      <c r="D12" s="5" t="s">
        <v>550</v>
      </c>
      <c r="E12" s="19">
        <v>1</v>
      </c>
      <c r="F12" s="17"/>
      <c r="G12" s="17"/>
      <c r="H12" s="17"/>
      <c r="I12" s="17"/>
      <c r="J12" s="16">
        <v>146</v>
      </c>
      <c r="K12" s="5" t="s">
        <v>24</v>
      </c>
      <c r="L12" s="6" t="s">
        <v>39</v>
      </c>
      <c r="M12" s="104"/>
      <c r="N12" s="6" t="s">
        <v>41</v>
      </c>
      <c r="O12" s="5" t="s">
        <v>715</v>
      </c>
      <c r="P12" s="6" t="s">
        <v>27</v>
      </c>
      <c r="Q12" s="7">
        <v>2026</v>
      </c>
      <c r="R12" s="8">
        <v>0.99</v>
      </c>
      <c r="S12" s="8">
        <v>0</v>
      </c>
      <c r="T12" s="9">
        <f t="shared" si="1"/>
        <v>0.99</v>
      </c>
      <c r="U12" s="8"/>
      <c r="V12" s="8"/>
      <c r="W12" s="8"/>
      <c r="X12" s="10">
        <v>0</v>
      </c>
      <c r="Y12" s="8">
        <v>1.0000000000000009E-2</v>
      </c>
      <c r="Z12" s="11">
        <v>46387</v>
      </c>
      <c r="AA12" s="12"/>
      <c r="AB12" s="22">
        <f t="shared" si="2"/>
        <v>130680</v>
      </c>
      <c r="AC12" s="22"/>
      <c r="AD12" s="4">
        <v>0</v>
      </c>
      <c r="AE12" s="14">
        <f t="shared" si="3"/>
        <v>0</v>
      </c>
      <c r="AF12" s="13">
        <f t="shared" si="4"/>
        <v>17.393508000000001</v>
      </c>
      <c r="AG12" s="4">
        <v>133.1</v>
      </c>
      <c r="AH12" s="4">
        <v>220</v>
      </c>
      <c r="AI12" s="4">
        <v>594</v>
      </c>
      <c r="AJ12" s="4">
        <v>430</v>
      </c>
      <c r="AK12" s="13">
        <f t="shared" si="5"/>
        <v>56.192399999999999</v>
      </c>
      <c r="AL12" s="13">
        <f t="shared" si="0"/>
        <v>55.630476000000002</v>
      </c>
      <c r="AM12" s="20">
        <v>94600</v>
      </c>
      <c r="AN12" s="20">
        <f t="shared" si="6"/>
        <v>29282</v>
      </c>
      <c r="AO12" s="23">
        <f t="shared" si="7"/>
        <v>1</v>
      </c>
      <c r="AP12" s="24">
        <f t="shared" si="8"/>
        <v>3.2306536438767841</v>
      </c>
    </row>
    <row r="13" spans="1:42" x14ac:dyDescent="0.3">
      <c r="A13" t="s">
        <v>575</v>
      </c>
      <c r="B13" s="6" t="s">
        <v>268</v>
      </c>
      <c r="C13" s="15" t="s">
        <v>469</v>
      </c>
      <c r="D13" s="5" t="s">
        <v>550</v>
      </c>
      <c r="E13" s="19">
        <v>1</v>
      </c>
      <c r="F13" s="17"/>
      <c r="G13" s="17"/>
      <c r="H13" s="17"/>
      <c r="I13" s="17"/>
      <c r="J13" s="16">
        <v>147</v>
      </c>
      <c r="K13" s="5" t="s">
        <v>24</v>
      </c>
      <c r="L13" s="6" t="s">
        <v>42</v>
      </c>
      <c r="M13" s="104"/>
      <c r="N13" s="6" t="s">
        <v>43</v>
      </c>
      <c r="O13" s="5" t="s">
        <v>714</v>
      </c>
      <c r="P13" s="6" t="s">
        <v>27</v>
      </c>
      <c r="Q13" s="7">
        <v>2026</v>
      </c>
      <c r="R13" s="8">
        <v>1</v>
      </c>
      <c r="S13" s="8">
        <v>0</v>
      </c>
      <c r="T13" s="9">
        <f t="shared" si="1"/>
        <v>1</v>
      </c>
      <c r="U13" s="8"/>
      <c r="V13" s="8"/>
      <c r="W13" s="8"/>
      <c r="X13" s="10">
        <v>0</v>
      </c>
      <c r="Y13" s="8">
        <v>0</v>
      </c>
      <c r="Z13" s="11">
        <v>46387</v>
      </c>
      <c r="AA13" s="12"/>
      <c r="AB13" s="22">
        <f>AH13*AI13</f>
        <v>268937.01</v>
      </c>
      <c r="AC13" s="22"/>
      <c r="AD13" s="4">
        <v>0</v>
      </c>
      <c r="AE13" s="14">
        <f t="shared" si="3"/>
        <v>0</v>
      </c>
      <c r="AF13" s="13">
        <f t="shared" si="4"/>
        <v>35.795516031000005</v>
      </c>
      <c r="AG13" s="4">
        <v>133.1</v>
      </c>
      <c r="AH13" s="75">
        <v>279.27</v>
      </c>
      <c r="AI13" s="75">
        <v>963</v>
      </c>
      <c r="AJ13" s="4">
        <v>650</v>
      </c>
      <c r="AK13" s="13">
        <f t="shared" si="5"/>
        <v>174.8090565</v>
      </c>
      <c r="AL13" s="13">
        <f t="shared" si="0"/>
        <v>174.8090565</v>
      </c>
      <c r="AM13" s="20">
        <v>168559.39150485437</v>
      </c>
      <c r="AN13" s="20">
        <f t="shared" si="6"/>
        <v>37170.837</v>
      </c>
      <c r="AO13" s="23">
        <f t="shared" si="7"/>
        <v>1</v>
      </c>
      <c r="AP13" s="24">
        <f t="shared" si="8"/>
        <v>4.883546205860255</v>
      </c>
    </row>
    <row r="14" spans="1:42" x14ac:dyDescent="0.3">
      <c r="A14" t="s">
        <v>575</v>
      </c>
      <c r="B14" s="6" t="s">
        <v>269</v>
      </c>
      <c r="C14" s="15" t="s">
        <v>469</v>
      </c>
      <c r="D14" s="5" t="s">
        <v>550</v>
      </c>
      <c r="E14" s="19">
        <v>1</v>
      </c>
      <c r="F14" s="17"/>
      <c r="G14" s="17"/>
      <c r="H14" s="17"/>
      <c r="I14" s="17"/>
      <c r="J14" s="16">
        <v>148</v>
      </c>
      <c r="K14" s="5" t="s">
        <v>24</v>
      </c>
      <c r="L14" s="6" t="s">
        <v>42</v>
      </c>
      <c r="M14" s="104"/>
      <c r="N14" s="6" t="s">
        <v>44</v>
      </c>
      <c r="O14" s="5" t="s">
        <v>714</v>
      </c>
      <c r="P14" s="6" t="s">
        <v>27</v>
      </c>
      <c r="Q14" s="7">
        <v>2027</v>
      </c>
      <c r="R14" s="8">
        <v>1</v>
      </c>
      <c r="S14" s="8">
        <v>0</v>
      </c>
      <c r="T14" s="9">
        <f t="shared" si="1"/>
        <v>1</v>
      </c>
      <c r="U14" s="8"/>
      <c r="V14" s="8"/>
      <c r="W14" s="8"/>
      <c r="X14" s="10">
        <v>0</v>
      </c>
      <c r="Y14" s="8">
        <v>0</v>
      </c>
      <c r="Z14" s="11">
        <v>46752</v>
      </c>
      <c r="AA14" s="12"/>
      <c r="AB14" s="22">
        <f>AH14*AI14</f>
        <v>269216.27999999997</v>
      </c>
      <c r="AC14" s="22"/>
      <c r="AD14" s="4">
        <v>0</v>
      </c>
      <c r="AE14" s="14">
        <f t="shared" si="3"/>
        <v>0</v>
      </c>
      <c r="AF14" s="13">
        <f t="shared" si="4"/>
        <v>35.832686868000003</v>
      </c>
      <c r="AG14" s="4">
        <v>133.1</v>
      </c>
      <c r="AH14" s="75">
        <v>279.27</v>
      </c>
      <c r="AI14" s="75">
        <v>964</v>
      </c>
      <c r="AJ14" s="4">
        <v>650</v>
      </c>
      <c r="AK14" s="13">
        <f t="shared" si="5"/>
        <v>174.99058199999999</v>
      </c>
      <c r="AL14" s="13">
        <f t="shared" si="0"/>
        <v>174.99058199999999</v>
      </c>
      <c r="AM14" s="20">
        <v>168559.39150485437</v>
      </c>
      <c r="AN14" s="20">
        <f t="shared" si="6"/>
        <v>37170.837</v>
      </c>
      <c r="AO14" s="23">
        <f t="shared" si="7"/>
        <v>1</v>
      </c>
      <c r="AP14" s="24">
        <f t="shared" si="8"/>
        <v>4.883546205860255</v>
      </c>
    </row>
    <row r="15" spans="1:42" x14ac:dyDescent="0.3">
      <c r="A15" t="s">
        <v>576</v>
      </c>
      <c r="B15" s="6" t="s">
        <v>270</v>
      </c>
      <c r="C15" s="15" t="s">
        <v>469</v>
      </c>
      <c r="D15" s="5" t="s">
        <v>550</v>
      </c>
      <c r="E15" s="19">
        <v>1</v>
      </c>
      <c r="F15" s="17"/>
      <c r="G15" s="17"/>
      <c r="H15" s="17"/>
      <c r="I15" s="17"/>
      <c r="J15" s="16">
        <v>149</v>
      </c>
      <c r="K15" s="5" t="s">
        <v>24</v>
      </c>
      <c r="L15" s="6" t="s">
        <v>42</v>
      </c>
      <c r="M15" s="104"/>
      <c r="N15" s="6" t="s">
        <v>31</v>
      </c>
      <c r="O15" s="5" t="s">
        <v>714</v>
      </c>
      <c r="P15" s="6" t="s">
        <v>27</v>
      </c>
      <c r="Q15" s="7">
        <v>2028</v>
      </c>
      <c r="R15" s="8">
        <v>1</v>
      </c>
      <c r="S15" s="8">
        <v>0</v>
      </c>
      <c r="T15" s="9">
        <f t="shared" si="1"/>
        <v>1</v>
      </c>
      <c r="U15" s="8"/>
      <c r="V15" s="8"/>
      <c r="W15" s="8"/>
      <c r="X15" s="10">
        <v>0</v>
      </c>
      <c r="Y15" s="8">
        <v>0</v>
      </c>
      <c r="Z15" s="11">
        <v>47118</v>
      </c>
      <c r="AA15" s="12"/>
      <c r="AB15" s="22">
        <f t="shared" si="2"/>
        <v>410455.51</v>
      </c>
      <c r="AC15" s="22"/>
      <c r="AD15" s="4">
        <v>0</v>
      </c>
      <c r="AE15" s="14">
        <f t="shared" si="3"/>
        <v>0</v>
      </c>
      <c r="AF15" s="13">
        <f t="shared" si="4"/>
        <v>54.631628380999999</v>
      </c>
      <c r="AG15" s="4">
        <v>133.1</v>
      </c>
      <c r="AH15" s="4">
        <v>239.89217416715371</v>
      </c>
      <c r="AI15" s="4">
        <v>1711</v>
      </c>
      <c r="AJ15" s="4">
        <v>500</v>
      </c>
      <c r="AK15" s="13">
        <f t="shared" si="5"/>
        <v>205.227755</v>
      </c>
      <c r="AL15" s="13">
        <f t="shared" si="0"/>
        <v>205.227755</v>
      </c>
      <c r="AM15" s="20">
        <v>119946.08708357686</v>
      </c>
      <c r="AN15" s="20">
        <f t="shared" si="6"/>
        <v>31929.648381648156</v>
      </c>
      <c r="AO15" s="23">
        <f t="shared" si="7"/>
        <v>1</v>
      </c>
      <c r="AP15" s="24">
        <f t="shared" si="8"/>
        <v>3.7565740045078888</v>
      </c>
    </row>
    <row r="16" spans="1:42" x14ac:dyDescent="0.3">
      <c r="A16" t="s">
        <v>577</v>
      </c>
      <c r="B16" s="6" t="s">
        <v>271</v>
      </c>
      <c r="C16" s="15" t="s">
        <v>469</v>
      </c>
      <c r="D16" s="5" t="s">
        <v>550</v>
      </c>
      <c r="E16" s="19">
        <v>1</v>
      </c>
      <c r="F16" s="17"/>
      <c r="G16" s="17"/>
      <c r="H16" s="17"/>
      <c r="I16" s="17"/>
      <c r="J16" s="16">
        <v>150</v>
      </c>
      <c r="K16" s="5" t="s">
        <v>24</v>
      </c>
      <c r="L16" s="6" t="s">
        <v>42</v>
      </c>
      <c r="M16" s="104"/>
      <c r="N16" s="6" t="s">
        <v>45</v>
      </c>
      <c r="O16" s="5" t="s">
        <v>714</v>
      </c>
      <c r="P16" s="6" t="s">
        <v>27</v>
      </c>
      <c r="Q16" s="7">
        <v>2030</v>
      </c>
      <c r="R16" s="8">
        <v>1</v>
      </c>
      <c r="S16" s="8">
        <v>0</v>
      </c>
      <c r="T16" s="9">
        <f t="shared" si="1"/>
        <v>1</v>
      </c>
      <c r="U16" s="8"/>
      <c r="V16" s="8"/>
      <c r="W16" s="8"/>
      <c r="X16" s="10">
        <v>0</v>
      </c>
      <c r="Y16" s="8">
        <v>0</v>
      </c>
      <c r="Z16" s="11">
        <v>47848</v>
      </c>
      <c r="AA16" s="12"/>
      <c r="AB16" s="22">
        <f t="shared" si="2"/>
        <v>61214.159999999996</v>
      </c>
      <c r="AC16" s="22"/>
      <c r="AD16" s="4">
        <v>0</v>
      </c>
      <c r="AE16" s="14">
        <f t="shared" si="3"/>
        <v>0</v>
      </c>
      <c r="AF16" s="13">
        <f t="shared" si="4"/>
        <v>8.1476046959999984</v>
      </c>
      <c r="AG16" s="4">
        <v>133.1</v>
      </c>
      <c r="AH16" s="4">
        <v>275.73945945945945</v>
      </c>
      <c r="AI16" s="4">
        <v>222</v>
      </c>
      <c r="AJ16" s="4">
        <v>500</v>
      </c>
      <c r="AK16" s="13">
        <f t="shared" si="5"/>
        <v>30.60708</v>
      </c>
      <c r="AL16" s="13">
        <f t="shared" si="0"/>
        <v>30.60708</v>
      </c>
      <c r="AM16" s="20">
        <v>137869.72972972973</v>
      </c>
      <c r="AN16" s="20">
        <f t="shared" si="6"/>
        <v>36700.922054054048</v>
      </c>
      <c r="AO16" s="23">
        <f t="shared" si="7"/>
        <v>1</v>
      </c>
      <c r="AP16" s="24">
        <f t="shared" si="8"/>
        <v>3.7565740045078897</v>
      </c>
    </row>
    <row r="17" spans="1:42" x14ac:dyDescent="0.3">
      <c r="A17" t="s">
        <v>578</v>
      </c>
      <c r="B17" s="6" t="s">
        <v>272</v>
      </c>
      <c r="C17" s="15" t="s">
        <v>469</v>
      </c>
      <c r="D17" s="5" t="s">
        <v>550</v>
      </c>
      <c r="E17" s="19">
        <v>1</v>
      </c>
      <c r="F17" s="17"/>
      <c r="G17" s="17"/>
      <c r="H17" s="17"/>
      <c r="I17" s="17"/>
      <c r="J17" s="16">
        <v>151</v>
      </c>
      <c r="K17" s="5" t="s">
        <v>24</v>
      </c>
      <c r="L17" s="6" t="s">
        <v>42</v>
      </c>
      <c r="M17" s="104"/>
      <c r="N17" s="6" t="s">
        <v>46</v>
      </c>
      <c r="O17" s="5" t="s">
        <v>714</v>
      </c>
      <c r="P17" s="6" t="s">
        <v>27</v>
      </c>
      <c r="Q17" s="7">
        <v>2029</v>
      </c>
      <c r="R17" s="8">
        <v>1</v>
      </c>
      <c r="S17" s="8">
        <v>0</v>
      </c>
      <c r="T17" s="9">
        <f t="shared" si="1"/>
        <v>1</v>
      </c>
      <c r="U17" s="8"/>
      <c r="V17" s="8"/>
      <c r="W17" s="8"/>
      <c r="X17" s="10">
        <v>0</v>
      </c>
      <c r="Y17" s="8">
        <v>0</v>
      </c>
      <c r="Z17" s="11">
        <v>47483</v>
      </c>
      <c r="AA17" s="12"/>
      <c r="AB17" s="22">
        <f t="shared" si="2"/>
        <v>319811.90999999997</v>
      </c>
      <c r="AC17" s="22"/>
      <c r="AD17" s="4">
        <v>0</v>
      </c>
      <c r="AE17" s="14">
        <f t="shared" si="3"/>
        <v>0</v>
      </c>
      <c r="AF17" s="13">
        <f t="shared" si="4"/>
        <v>42.566965220999997</v>
      </c>
      <c r="AG17" s="4">
        <v>133.1</v>
      </c>
      <c r="AH17" s="4">
        <v>366.33666666666664</v>
      </c>
      <c r="AI17" s="4">
        <v>873</v>
      </c>
      <c r="AJ17" s="4">
        <v>500</v>
      </c>
      <c r="AK17" s="13">
        <f t="shared" si="5"/>
        <v>159.90595500000001</v>
      </c>
      <c r="AL17" s="13">
        <f t="shared" si="0"/>
        <v>159.90595500000001</v>
      </c>
      <c r="AM17" s="20">
        <v>183168.33333333331</v>
      </c>
      <c r="AN17" s="20">
        <f t="shared" si="6"/>
        <v>48759.410333333326</v>
      </c>
      <c r="AO17" s="23">
        <f t="shared" si="7"/>
        <v>1</v>
      </c>
      <c r="AP17" s="24">
        <f t="shared" si="8"/>
        <v>3.7565740045078893</v>
      </c>
    </row>
    <row r="18" spans="1:42" x14ac:dyDescent="0.3">
      <c r="A18" t="s">
        <v>583</v>
      </c>
      <c r="B18" s="6" t="s">
        <v>273</v>
      </c>
      <c r="C18" s="15" t="s">
        <v>472</v>
      </c>
      <c r="D18" s="5" t="s">
        <v>550</v>
      </c>
      <c r="E18" s="19">
        <v>1</v>
      </c>
      <c r="F18" s="17"/>
      <c r="G18" s="17"/>
      <c r="H18" s="17"/>
      <c r="I18" s="17"/>
      <c r="J18" s="16">
        <v>152</v>
      </c>
      <c r="K18" s="5" t="s">
        <v>24</v>
      </c>
      <c r="L18" s="6" t="s">
        <v>47</v>
      </c>
      <c r="M18" s="104"/>
      <c r="N18" s="6" t="s">
        <v>48</v>
      </c>
      <c r="O18" s="5" t="s">
        <v>714</v>
      </c>
      <c r="P18" s="6" t="s">
        <v>27</v>
      </c>
      <c r="Q18" s="7">
        <v>2026</v>
      </c>
      <c r="R18" s="8">
        <v>1</v>
      </c>
      <c r="S18" s="8">
        <v>0</v>
      </c>
      <c r="T18" s="9">
        <f t="shared" si="1"/>
        <v>1</v>
      </c>
      <c r="U18" s="8"/>
      <c r="V18" s="8"/>
      <c r="W18" s="8"/>
      <c r="X18" s="10">
        <v>0</v>
      </c>
      <c r="Y18" s="8">
        <v>0</v>
      </c>
      <c r="Z18" s="11">
        <v>46387</v>
      </c>
      <c r="AA18" s="12"/>
      <c r="AB18" s="22">
        <f t="shared" si="2"/>
        <v>195570.85</v>
      </c>
      <c r="AC18" s="22"/>
      <c r="AD18" s="4">
        <v>0</v>
      </c>
      <c r="AE18" s="14">
        <f t="shared" si="3"/>
        <v>0</v>
      </c>
      <c r="AF18" s="13">
        <f t="shared" si="4"/>
        <v>26.030480134999998</v>
      </c>
      <c r="AG18" s="4">
        <v>133.1</v>
      </c>
      <c r="AH18" s="4">
        <v>210.9717907227616</v>
      </c>
      <c r="AI18" s="4">
        <v>927</v>
      </c>
      <c r="AJ18" s="4">
        <v>430</v>
      </c>
      <c r="AK18" s="13">
        <f t="shared" si="5"/>
        <v>84.095465500000003</v>
      </c>
      <c r="AL18" s="13">
        <f t="shared" si="0"/>
        <v>84.095465500000003</v>
      </c>
      <c r="AM18" s="20">
        <v>90717.87001078749</v>
      </c>
      <c r="AN18" s="20">
        <f t="shared" si="6"/>
        <v>28080.345345199567</v>
      </c>
      <c r="AO18" s="23">
        <f t="shared" si="7"/>
        <v>1</v>
      </c>
      <c r="AP18" s="24">
        <f t="shared" si="8"/>
        <v>3.230653643876785</v>
      </c>
    </row>
    <row r="19" spans="1:42" x14ac:dyDescent="0.3">
      <c r="A19" t="s">
        <v>584</v>
      </c>
      <c r="B19" s="6" t="s">
        <v>274</v>
      </c>
      <c r="C19" s="15" t="s">
        <v>473</v>
      </c>
      <c r="D19" s="5" t="s">
        <v>550</v>
      </c>
      <c r="E19" s="19">
        <v>1</v>
      </c>
      <c r="F19" s="17"/>
      <c r="G19" s="17"/>
      <c r="H19" s="17"/>
      <c r="I19" s="17"/>
      <c r="J19" s="16">
        <v>153</v>
      </c>
      <c r="K19" s="5" t="s">
        <v>24</v>
      </c>
      <c r="L19" s="6" t="s">
        <v>49</v>
      </c>
      <c r="M19" s="104"/>
      <c r="N19" s="6" t="s">
        <v>50</v>
      </c>
      <c r="O19" s="5" t="s">
        <v>714</v>
      </c>
      <c r="P19" s="6" t="s">
        <v>27</v>
      </c>
      <c r="Q19" s="7">
        <v>2028</v>
      </c>
      <c r="R19" s="8">
        <v>1</v>
      </c>
      <c r="S19" s="8">
        <v>0</v>
      </c>
      <c r="T19" s="9">
        <f t="shared" si="1"/>
        <v>1</v>
      </c>
      <c r="U19" s="8"/>
      <c r="V19" s="8"/>
      <c r="W19" s="8"/>
      <c r="X19" s="10">
        <v>0</v>
      </c>
      <c r="Y19" s="8">
        <v>0</v>
      </c>
      <c r="Z19" s="11">
        <v>47118</v>
      </c>
      <c r="AA19" s="12"/>
      <c r="AB19" s="22">
        <f>AH19*AI19</f>
        <v>121800</v>
      </c>
      <c r="AC19" s="22"/>
      <c r="AD19" s="4">
        <v>0</v>
      </c>
      <c r="AE19" s="14">
        <f t="shared" si="3"/>
        <v>0</v>
      </c>
      <c r="AF19" s="13">
        <f t="shared" si="4"/>
        <v>16.211580000000001</v>
      </c>
      <c r="AG19" s="4">
        <v>133.1</v>
      </c>
      <c r="AH19" s="4">
        <v>210</v>
      </c>
      <c r="AI19" s="4">
        <v>580</v>
      </c>
      <c r="AJ19" s="4">
        <v>390</v>
      </c>
      <c r="AK19" s="13">
        <f t="shared" si="5"/>
        <v>47.502000000000002</v>
      </c>
      <c r="AL19" s="13">
        <f t="shared" si="0"/>
        <v>47.502000000000002</v>
      </c>
      <c r="AM19" s="20">
        <v>81900</v>
      </c>
      <c r="AN19" s="20">
        <f t="shared" si="6"/>
        <v>27951</v>
      </c>
      <c r="AO19" s="23">
        <f t="shared" si="7"/>
        <v>1</v>
      </c>
      <c r="AP19" s="24">
        <f t="shared" si="8"/>
        <v>2.9301277235161534</v>
      </c>
    </row>
    <row r="20" spans="1:42" x14ac:dyDescent="0.3">
      <c r="A20" t="s">
        <v>584</v>
      </c>
      <c r="B20" s="6" t="s">
        <v>275</v>
      </c>
      <c r="C20" s="15" t="s">
        <v>473</v>
      </c>
      <c r="D20" s="5" t="s">
        <v>550</v>
      </c>
      <c r="E20" s="19">
        <v>1</v>
      </c>
      <c r="F20" s="17"/>
      <c r="G20" s="17"/>
      <c r="H20" s="17"/>
      <c r="I20" s="17"/>
      <c r="J20" s="16">
        <v>154</v>
      </c>
      <c r="K20" s="5" t="s">
        <v>24</v>
      </c>
      <c r="L20" s="6" t="s">
        <v>49</v>
      </c>
      <c r="M20" s="104"/>
      <c r="N20" s="6" t="s">
        <v>51</v>
      </c>
      <c r="O20" s="5" t="s">
        <v>714</v>
      </c>
      <c r="P20" s="6" t="s">
        <v>27</v>
      </c>
      <c r="Q20" s="7">
        <v>2030</v>
      </c>
      <c r="R20" s="8">
        <v>1</v>
      </c>
      <c r="S20" s="8">
        <v>0</v>
      </c>
      <c r="T20" s="9">
        <f t="shared" si="1"/>
        <v>1</v>
      </c>
      <c r="U20" s="8"/>
      <c r="V20" s="8"/>
      <c r="W20" s="8"/>
      <c r="X20" s="10">
        <v>0</v>
      </c>
      <c r="Y20" s="8">
        <v>0</v>
      </c>
      <c r="Z20" s="11">
        <v>47848</v>
      </c>
      <c r="AA20" s="12"/>
      <c r="AB20" s="22">
        <f t="shared" si="2"/>
        <v>105000</v>
      </c>
      <c r="AC20" s="22"/>
      <c r="AD20" s="4">
        <v>0</v>
      </c>
      <c r="AE20" s="14">
        <f t="shared" si="3"/>
        <v>0</v>
      </c>
      <c r="AF20" s="13">
        <f t="shared" si="4"/>
        <v>13.9755</v>
      </c>
      <c r="AG20" s="4">
        <v>133.1</v>
      </c>
      <c r="AH20" s="4">
        <v>210</v>
      </c>
      <c r="AI20" s="4">
        <v>500</v>
      </c>
      <c r="AJ20" s="4">
        <v>390</v>
      </c>
      <c r="AK20" s="13">
        <f t="shared" si="5"/>
        <v>40.950000000000003</v>
      </c>
      <c r="AL20" s="13">
        <f t="shared" si="0"/>
        <v>40.950000000000003</v>
      </c>
      <c r="AM20" s="20">
        <v>81900</v>
      </c>
      <c r="AN20" s="20">
        <f t="shared" si="6"/>
        <v>27951</v>
      </c>
      <c r="AO20" s="23">
        <f t="shared" si="7"/>
        <v>1</v>
      </c>
      <c r="AP20" s="24">
        <f t="shared" si="8"/>
        <v>2.9301277235161534</v>
      </c>
    </row>
    <row r="21" spans="1:42" x14ac:dyDescent="0.3">
      <c r="A21" t="s">
        <v>584</v>
      </c>
      <c r="B21" s="6" t="s">
        <v>276</v>
      </c>
      <c r="C21" s="15" t="s">
        <v>473</v>
      </c>
      <c r="D21" s="5" t="s">
        <v>550</v>
      </c>
      <c r="E21" s="19">
        <v>1</v>
      </c>
      <c r="F21" s="17"/>
      <c r="G21" s="17"/>
      <c r="H21" s="17"/>
      <c r="I21" s="17"/>
      <c r="J21" s="16">
        <v>155</v>
      </c>
      <c r="K21" s="5" t="s">
        <v>24</v>
      </c>
      <c r="L21" s="6" t="s">
        <v>49</v>
      </c>
      <c r="M21" s="104"/>
      <c r="N21" s="6" t="s">
        <v>52</v>
      </c>
      <c r="O21" s="5" t="s">
        <v>714</v>
      </c>
      <c r="P21" s="6" t="s">
        <v>27</v>
      </c>
      <c r="Q21" s="7">
        <v>2032</v>
      </c>
      <c r="R21" s="8">
        <v>1</v>
      </c>
      <c r="S21" s="8">
        <v>0</v>
      </c>
      <c r="T21" s="9">
        <f t="shared" si="1"/>
        <v>1</v>
      </c>
      <c r="U21" s="8"/>
      <c r="V21" s="8"/>
      <c r="W21" s="8"/>
      <c r="X21" s="10">
        <v>0</v>
      </c>
      <c r="Y21" s="8">
        <v>0</v>
      </c>
      <c r="Z21" s="11">
        <v>48579</v>
      </c>
      <c r="AA21" s="12"/>
      <c r="AB21" s="22">
        <f t="shared" si="2"/>
        <v>105000</v>
      </c>
      <c r="AC21" s="22"/>
      <c r="AD21" s="4">
        <v>0</v>
      </c>
      <c r="AE21" s="14">
        <f t="shared" si="3"/>
        <v>0</v>
      </c>
      <c r="AF21" s="13">
        <f t="shared" si="4"/>
        <v>13.9755</v>
      </c>
      <c r="AG21" s="4">
        <v>133.1</v>
      </c>
      <c r="AH21" s="4">
        <v>210</v>
      </c>
      <c r="AI21" s="4">
        <v>500</v>
      </c>
      <c r="AJ21" s="4">
        <v>390</v>
      </c>
      <c r="AK21" s="13">
        <f t="shared" si="5"/>
        <v>40.950000000000003</v>
      </c>
      <c r="AL21" s="13">
        <f t="shared" si="0"/>
        <v>40.950000000000003</v>
      </c>
      <c r="AM21" s="20">
        <v>81900</v>
      </c>
      <c r="AN21" s="20">
        <f t="shared" si="6"/>
        <v>27951</v>
      </c>
      <c r="AO21" s="23">
        <f t="shared" si="7"/>
        <v>1</v>
      </c>
      <c r="AP21" s="24">
        <f t="shared" si="8"/>
        <v>2.9301277235161534</v>
      </c>
    </row>
    <row r="22" spans="1:42" x14ac:dyDescent="0.3">
      <c r="A22" t="s">
        <v>584</v>
      </c>
      <c r="B22" s="6" t="s">
        <v>277</v>
      </c>
      <c r="C22" s="15" t="s">
        <v>473</v>
      </c>
      <c r="D22" s="5" t="s">
        <v>550</v>
      </c>
      <c r="E22" s="19">
        <v>1</v>
      </c>
      <c r="F22" s="17"/>
      <c r="G22" s="17"/>
      <c r="H22" s="17"/>
      <c r="I22" s="17"/>
      <c r="J22" s="16">
        <v>156</v>
      </c>
      <c r="K22" s="5" t="s">
        <v>24</v>
      </c>
      <c r="L22" s="6" t="s">
        <v>49</v>
      </c>
      <c r="M22" s="104"/>
      <c r="N22" s="6" t="s">
        <v>53</v>
      </c>
      <c r="O22" s="5" t="s">
        <v>714</v>
      </c>
      <c r="P22" s="6" t="s">
        <v>27</v>
      </c>
      <c r="Q22" s="7">
        <v>2034</v>
      </c>
      <c r="R22" s="8">
        <v>1</v>
      </c>
      <c r="S22" s="8">
        <v>0</v>
      </c>
      <c r="T22" s="9">
        <f t="shared" si="1"/>
        <v>1</v>
      </c>
      <c r="U22" s="8"/>
      <c r="V22" s="8"/>
      <c r="W22" s="8"/>
      <c r="X22" s="10">
        <v>0</v>
      </c>
      <c r="Y22" s="8">
        <v>0</v>
      </c>
      <c r="Z22" s="11">
        <v>49309</v>
      </c>
      <c r="AA22" s="12"/>
      <c r="AB22" s="22">
        <f t="shared" si="2"/>
        <v>105000</v>
      </c>
      <c r="AC22" s="22"/>
      <c r="AD22" s="4">
        <v>0</v>
      </c>
      <c r="AE22" s="14">
        <f t="shared" si="3"/>
        <v>0</v>
      </c>
      <c r="AF22" s="13">
        <f t="shared" si="4"/>
        <v>13.9755</v>
      </c>
      <c r="AG22" s="4">
        <v>133.1</v>
      </c>
      <c r="AH22" s="4">
        <v>210</v>
      </c>
      <c r="AI22" s="4">
        <v>500</v>
      </c>
      <c r="AJ22" s="4">
        <v>390</v>
      </c>
      <c r="AK22" s="13">
        <f t="shared" si="5"/>
        <v>40.950000000000003</v>
      </c>
      <c r="AL22" s="13">
        <f t="shared" si="0"/>
        <v>40.950000000000003</v>
      </c>
      <c r="AM22" s="20">
        <v>81900</v>
      </c>
      <c r="AN22" s="20">
        <f t="shared" si="6"/>
        <v>27951</v>
      </c>
      <c r="AO22" s="23">
        <f t="shared" si="7"/>
        <v>1</v>
      </c>
      <c r="AP22" s="24">
        <f t="shared" si="8"/>
        <v>2.9301277235161534</v>
      </c>
    </row>
    <row r="23" spans="1:42" x14ac:dyDescent="0.3">
      <c r="A23" t="s">
        <v>584</v>
      </c>
      <c r="B23" s="6" t="s">
        <v>278</v>
      </c>
      <c r="C23" s="15" t="s">
        <v>473</v>
      </c>
      <c r="D23" s="5" t="s">
        <v>550</v>
      </c>
      <c r="E23" s="19">
        <v>1</v>
      </c>
      <c r="F23" s="17"/>
      <c r="G23" s="17"/>
      <c r="H23" s="17"/>
      <c r="I23" s="17"/>
      <c r="J23" s="16">
        <v>157</v>
      </c>
      <c r="K23" s="5" t="s">
        <v>24</v>
      </c>
      <c r="L23" s="6" t="s">
        <v>49</v>
      </c>
      <c r="M23" s="104"/>
      <c r="N23" s="6" t="s">
        <v>54</v>
      </c>
      <c r="O23" s="5" t="s">
        <v>714</v>
      </c>
      <c r="P23" s="6" t="s">
        <v>27</v>
      </c>
      <c r="Q23" s="7">
        <v>2036</v>
      </c>
      <c r="R23" s="8">
        <v>1</v>
      </c>
      <c r="S23" s="8">
        <v>0</v>
      </c>
      <c r="T23" s="9">
        <f t="shared" si="1"/>
        <v>1</v>
      </c>
      <c r="U23" s="8"/>
      <c r="V23" s="8"/>
      <c r="W23" s="8"/>
      <c r="X23" s="10">
        <v>0</v>
      </c>
      <c r="Y23" s="8">
        <v>0</v>
      </c>
      <c r="Z23" s="11">
        <v>50040</v>
      </c>
      <c r="AA23" s="12"/>
      <c r="AB23" s="22">
        <f t="shared" si="2"/>
        <v>105000</v>
      </c>
      <c r="AC23" s="22"/>
      <c r="AD23" s="4">
        <v>0</v>
      </c>
      <c r="AE23" s="14">
        <f t="shared" si="3"/>
        <v>0</v>
      </c>
      <c r="AF23" s="13">
        <f t="shared" si="4"/>
        <v>13.9755</v>
      </c>
      <c r="AG23" s="4">
        <v>133.1</v>
      </c>
      <c r="AH23" s="4">
        <v>210</v>
      </c>
      <c r="AI23" s="4">
        <v>500</v>
      </c>
      <c r="AJ23" s="4">
        <v>390</v>
      </c>
      <c r="AK23" s="13">
        <f t="shared" si="5"/>
        <v>40.950000000000003</v>
      </c>
      <c r="AL23" s="13">
        <f t="shared" si="0"/>
        <v>40.950000000000003</v>
      </c>
      <c r="AM23" s="20">
        <v>81900</v>
      </c>
      <c r="AN23" s="20">
        <f t="shared" si="6"/>
        <v>27951</v>
      </c>
      <c r="AO23" s="23">
        <f t="shared" si="7"/>
        <v>1</v>
      </c>
      <c r="AP23" s="24">
        <f t="shared" si="8"/>
        <v>2.9301277235161534</v>
      </c>
    </row>
    <row r="24" spans="1:42" x14ac:dyDescent="0.3">
      <c r="A24" t="s">
        <v>584</v>
      </c>
      <c r="B24" s="6" t="s">
        <v>279</v>
      </c>
      <c r="C24" s="15" t="s">
        <v>473</v>
      </c>
      <c r="D24" s="5" t="s">
        <v>550</v>
      </c>
      <c r="E24" s="19">
        <v>1</v>
      </c>
      <c r="F24" s="17"/>
      <c r="G24" s="17"/>
      <c r="H24" s="17"/>
      <c r="I24" s="17"/>
      <c r="J24" s="16">
        <v>158</v>
      </c>
      <c r="K24" s="5" t="s">
        <v>24</v>
      </c>
      <c r="L24" s="6" t="s">
        <v>49</v>
      </c>
      <c r="M24" s="104"/>
      <c r="N24" s="6" t="s">
        <v>55</v>
      </c>
      <c r="O24" s="5" t="s">
        <v>714</v>
      </c>
      <c r="P24" s="6" t="s">
        <v>27</v>
      </c>
      <c r="Q24" s="7">
        <v>2038</v>
      </c>
      <c r="R24" s="8">
        <v>1</v>
      </c>
      <c r="S24" s="8">
        <v>0</v>
      </c>
      <c r="T24" s="9">
        <f t="shared" si="1"/>
        <v>1</v>
      </c>
      <c r="U24" s="8"/>
      <c r="V24" s="8"/>
      <c r="W24" s="8"/>
      <c r="X24" s="10">
        <v>0</v>
      </c>
      <c r="Y24" s="8">
        <v>0</v>
      </c>
      <c r="Z24" s="11">
        <v>50770</v>
      </c>
      <c r="AA24" s="12"/>
      <c r="AB24" s="22">
        <f t="shared" si="2"/>
        <v>105000</v>
      </c>
      <c r="AC24" s="22"/>
      <c r="AD24" s="4">
        <v>0</v>
      </c>
      <c r="AE24" s="14">
        <f t="shared" si="3"/>
        <v>0</v>
      </c>
      <c r="AF24" s="13">
        <f t="shared" si="4"/>
        <v>13.9755</v>
      </c>
      <c r="AG24" s="4">
        <v>133.1</v>
      </c>
      <c r="AH24" s="4">
        <v>210</v>
      </c>
      <c r="AI24" s="4">
        <v>500</v>
      </c>
      <c r="AJ24" s="4">
        <v>390</v>
      </c>
      <c r="AK24" s="13">
        <f t="shared" si="5"/>
        <v>40.950000000000003</v>
      </c>
      <c r="AL24" s="13">
        <f t="shared" si="0"/>
        <v>40.950000000000003</v>
      </c>
      <c r="AM24" s="20">
        <v>81900</v>
      </c>
      <c r="AN24" s="20">
        <f t="shared" si="6"/>
        <v>27951</v>
      </c>
      <c r="AO24" s="23">
        <f t="shared" si="7"/>
        <v>1</v>
      </c>
      <c r="AP24" s="24">
        <f t="shared" si="8"/>
        <v>2.9301277235161534</v>
      </c>
    </row>
    <row r="25" spans="1:42" x14ac:dyDescent="0.3">
      <c r="A25" t="s">
        <v>584</v>
      </c>
      <c r="B25" s="6" t="s">
        <v>280</v>
      </c>
      <c r="C25" s="15" t="s">
        <v>473</v>
      </c>
      <c r="D25" s="5" t="s">
        <v>550</v>
      </c>
      <c r="E25" s="19">
        <v>1</v>
      </c>
      <c r="F25" s="17"/>
      <c r="G25" s="17"/>
      <c r="H25" s="17"/>
      <c r="I25" s="17"/>
      <c r="J25" s="16">
        <v>159</v>
      </c>
      <c r="K25" s="5" t="s">
        <v>24</v>
      </c>
      <c r="L25" s="6" t="s">
        <v>49</v>
      </c>
      <c r="M25" s="104"/>
      <c r="N25" s="6" t="s">
        <v>56</v>
      </c>
      <c r="O25" s="5" t="s">
        <v>714</v>
      </c>
      <c r="P25" s="6" t="s">
        <v>27</v>
      </c>
      <c r="Q25" s="7">
        <v>2040</v>
      </c>
      <c r="R25" s="8">
        <v>1</v>
      </c>
      <c r="S25" s="8">
        <v>0</v>
      </c>
      <c r="T25" s="9">
        <f t="shared" si="1"/>
        <v>1</v>
      </c>
      <c r="U25" s="8"/>
      <c r="V25" s="8"/>
      <c r="W25" s="8"/>
      <c r="X25" s="10">
        <v>0</v>
      </c>
      <c r="Y25" s="8">
        <v>0</v>
      </c>
      <c r="Z25" s="11">
        <v>51501</v>
      </c>
      <c r="AA25" s="12"/>
      <c r="AB25" s="22">
        <f t="shared" si="2"/>
        <v>105000</v>
      </c>
      <c r="AC25" s="22"/>
      <c r="AD25" s="4">
        <v>0</v>
      </c>
      <c r="AE25" s="14">
        <f t="shared" si="3"/>
        <v>0</v>
      </c>
      <c r="AF25" s="13">
        <f t="shared" si="4"/>
        <v>13.9755</v>
      </c>
      <c r="AG25" s="4">
        <v>133.1</v>
      </c>
      <c r="AH25" s="4">
        <v>210</v>
      </c>
      <c r="AI25" s="4">
        <v>500</v>
      </c>
      <c r="AJ25" s="4">
        <v>390</v>
      </c>
      <c r="AK25" s="13">
        <f t="shared" si="5"/>
        <v>40.950000000000003</v>
      </c>
      <c r="AL25" s="13">
        <f t="shared" si="0"/>
        <v>40.950000000000003</v>
      </c>
      <c r="AM25" s="20">
        <v>81900</v>
      </c>
      <c r="AN25" s="20">
        <f t="shared" si="6"/>
        <v>27951</v>
      </c>
      <c r="AO25" s="23">
        <f t="shared" si="7"/>
        <v>1</v>
      </c>
      <c r="AP25" s="24">
        <f t="shared" si="8"/>
        <v>2.9301277235161534</v>
      </c>
    </row>
    <row r="26" spans="1:42" x14ac:dyDescent="0.3">
      <c r="A26" t="s">
        <v>585</v>
      </c>
      <c r="B26" s="6" t="s">
        <v>281</v>
      </c>
      <c r="C26" s="15" t="s">
        <v>474</v>
      </c>
      <c r="D26" s="5" t="s">
        <v>550</v>
      </c>
      <c r="E26" s="19">
        <v>1</v>
      </c>
      <c r="F26" s="17"/>
      <c r="G26" s="17"/>
      <c r="H26" s="17"/>
      <c r="I26" s="17"/>
      <c r="J26" s="16">
        <v>160</v>
      </c>
      <c r="K26" s="5" t="s">
        <v>24</v>
      </c>
      <c r="L26" s="6" t="s">
        <v>57</v>
      </c>
      <c r="M26" s="104">
        <v>9700000</v>
      </c>
      <c r="N26" s="6" t="s">
        <v>26</v>
      </c>
      <c r="O26" s="5" t="s">
        <v>715</v>
      </c>
      <c r="P26" s="6" t="s">
        <v>27</v>
      </c>
      <c r="Q26" s="7" t="s">
        <v>28</v>
      </c>
      <c r="R26" s="8">
        <v>1</v>
      </c>
      <c r="S26" s="8">
        <v>0</v>
      </c>
      <c r="T26" s="9">
        <f t="shared" si="1"/>
        <v>1</v>
      </c>
      <c r="U26" s="8"/>
      <c r="V26" s="8"/>
      <c r="W26" s="8"/>
      <c r="X26" s="10">
        <v>0</v>
      </c>
      <c r="Y26" s="8">
        <v>0</v>
      </c>
      <c r="Z26" s="11" t="s">
        <v>28</v>
      </c>
      <c r="AA26" s="12"/>
      <c r="AB26" s="22">
        <f t="shared" si="2"/>
        <v>751970</v>
      </c>
      <c r="AC26" s="22"/>
      <c r="AD26" s="4">
        <v>0</v>
      </c>
      <c r="AE26" s="14">
        <f t="shared" si="3"/>
        <v>0</v>
      </c>
      <c r="AF26" s="13">
        <f t="shared" si="4"/>
        <v>60.157600000000009</v>
      </c>
      <c r="AG26" s="4">
        <v>80</v>
      </c>
      <c r="AH26" s="4">
        <v>1503.94</v>
      </c>
      <c r="AI26" s="4">
        <v>500</v>
      </c>
      <c r="AJ26" s="4">
        <v>66.492014309081483</v>
      </c>
      <c r="AK26" s="13">
        <f t="shared" si="5"/>
        <v>50</v>
      </c>
      <c r="AL26" s="13">
        <f t="shared" si="0"/>
        <v>50</v>
      </c>
      <c r="AM26" s="20">
        <v>100000.00000000001</v>
      </c>
      <c r="AN26" s="20">
        <f t="shared" si="6"/>
        <v>120315.20000000001</v>
      </c>
      <c r="AO26" s="23">
        <f t="shared" si="7"/>
        <v>1</v>
      </c>
      <c r="AP26" s="24">
        <f t="shared" si="8"/>
        <v>0.83115017886351839</v>
      </c>
    </row>
    <row r="27" spans="1:42" x14ac:dyDescent="0.3">
      <c r="A27" t="s">
        <v>586</v>
      </c>
      <c r="B27" s="6" t="s">
        <v>282</v>
      </c>
      <c r="C27" s="15" t="s">
        <v>477</v>
      </c>
      <c r="D27" s="5" t="s">
        <v>550</v>
      </c>
      <c r="E27" s="19">
        <v>1</v>
      </c>
      <c r="F27" s="17"/>
      <c r="G27" s="17"/>
      <c r="H27" s="17"/>
      <c r="I27" s="17"/>
      <c r="J27" s="16">
        <v>161</v>
      </c>
      <c r="K27" s="5" t="s">
        <v>58</v>
      </c>
      <c r="L27" s="6" t="s">
        <v>59</v>
      </c>
      <c r="M27" s="104"/>
      <c r="N27" s="6" t="s">
        <v>60</v>
      </c>
      <c r="O27" s="5" t="s">
        <v>715</v>
      </c>
      <c r="P27" s="6" t="s">
        <v>27</v>
      </c>
      <c r="Q27" s="7">
        <v>2027</v>
      </c>
      <c r="R27" s="8">
        <v>0.60550000000000004</v>
      </c>
      <c r="S27" s="8">
        <v>0</v>
      </c>
      <c r="T27" s="9">
        <f t="shared" si="1"/>
        <v>0.60550000000000004</v>
      </c>
      <c r="U27" s="8"/>
      <c r="V27" s="8"/>
      <c r="W27" s="8"/>
      <c r="X27" s="10">
        <v>0</v>
      </c>
      <c r="Y27" s="8">
        <v>0.39449999999999996</v>
      </c>
      <c r="Z27" s="11">
        <v>46752</v>
      </c>
      <c r="AA27" s="12"/>
      <c r="AB27" s="22">
        <f t="shared" si="2"/>
        <v>233060</v>
      </c>
      <c r="AC27" s="22"/>
      <c r="AD27" s="4">
        <v>0</v>
      </c>
      <c r="AE27" s="14">
        <f t="shared" si="3"/>
        <v>0</v>
      </c>
      <c r="AF27" s="13">
        <f t="shared" si="4"/>
        <v>29.831679999999999</v>
      </c>
      <c r="AG27" s="4">
        <v>128</v>
      </c>
      <c r="AH27" s="4">
        <v>275.15938606847698</v>
      </c>
      <c r="AI27" s="4">
        <v>847</v>
      </c>
      <c r="AJ27" s="26">
        <v>550</v>
      </c>
      <c r="AK27" s="13">
        <f t="shared" si="5"/>
        <v>128.18299999999999</v>
      </c>
      <c r="AL27" s="13">
        <f t="shared" si="0"/>
        <v>77.6148065</v>
      </c>
      <c r="AM27" s="27">
        <v>151250</v>
      </c>
      <c r="AN27" s="20">
        <f t="shared" si="6"/>
        <v>35220.401416765053</v>
      </c>
      <c r="AO27" s="23">
        <f t="shared" si="7"/>
        <v>1</v>
      </c>
      <c r="AP27" s="24">
        <f t="shared" si="8"/>
        <v>4.296875</v>
      </c>
    </row>
    <row r="28" spans="1:42" x14ac:dyDescent="0.3">
      <c r="A28" t="s">
        <v>586</v>
      </c>
      <c r="B28" s="6" t="s">
        <v>283</v>
      </c>
      <c r="C28" s="15" t="s">
        <v>477</v>
      </c>
      <c r="D28" s="5" t="s">
        <v>550</v>
      </c>
      <c r="E28" s="19">
        <v>1</v>
      </c>
      <c r="F28" s="17"/>
      <c r="G28" s="17"/>
      <c r="H28" s="17"/>
      <c r="I28" s="17"/>
      <c r="J28" s="16">
        <v>162</v>
      </c>
      <c r="K28" s="5" t="s">
        <v>58</v>
      </c>
      <c r="L28" s="6" t="s">
        <v>59</v>
      </c>
      <c r="M28" s="104"/>
      <c r="N28" s="6" t="s">
        <v>61</v>
      </c>
      <c r="O28" s="5" t="s">
        <v>714</v>
      </c>
      <c r="P28" s="6" t="s">
        <v>27</v>
      </c>
      <c r="Q28" s="7">
        <v>2026</v>
      </c>
      <c r="R28" s="8">
        <v>0.36959999999999998</v>
      </c>
      <c r="S28" s="8">
        <v>0</v>
      </c>
      <c r="T28" s="9">
        <f t="shared" si="1"/>
        <v>0.36959999999999998</v>
      </c>
      <c r="U28" s="8"/>
      <c r="V28" s="8"/>
      <c r="W28" s="8"/>
      <c r="X28" s="10">
        <v>0</v>
      </c>
      <c r="Y28" s="8">
        <v>0.63040000000000007</v>
      </c>
      <c r="Z28" s="11">
        <v>46203</v>
      </c>
      <c r="AA28" s="12"/>
      <c r="AB28" s="76">
        <v>224990</v>
      </c>
      <c r="AC28" s="76"/>
      <c r="AD28" s="4">
        <v>0</v>
      </c>
      <c r="AE28" s="14">
        <f t="shared" si="3"/>
        <v>0</v>
      </c>
      <c r="AF28" s="13">
        <f t="shared" si="4"/>
        <v>28.798748159999999</v>
      </c>
      <c r="AG28" s="4">
        <v>128</v>
      </c>
      <c r="AH28" s="75">
        <v>290.68503875968992</v>
      </c>
      <c r="AI28" s="75">
        <v>774</v>
      </c>
      <c r="AJ28" s="26">
        <v>550</v>
      </c>
      <c r="AK28" s="13">
        <f t="shared" si="5"/>
        <v>123.744621</v>
      </c>
      <c r="AL28" s="13">
        <f t="shared" si="0"/>
        <v>45.736011921599996</v>
      </c>
      <c r="AM28" s="27">
        <v>151250</v>
      </c>
      <c r="AN28" s="20">
        <f t="shared" si="6"/>
        <v>37207.684961240309</v>
      </c>
      <c r="AO28" s="23">
        <f t="shared" si="7"/>
        <v>1</v>
      </c>
      <c r="AP28" s="24">
        <f t="shared" si="8"/>
        <v>4.296875</v>
      </c>
    </row>
    <row r="29" spans="1:42" x14ac:dyDescent="0.3">
      <c r="A29" t="s">
        <v>586</v>
      </c>
      <c r="B29" s="6" t="s">
        <v>284</v>
      </c>
      <c r="C29" s="15" t="s">
        <v>477</v>
      </c>
      <c r="D29" s="5" t="s">
        <v>550</v>
      </c>
      <c r="E29" s="19">
        <v>1</v>
      </c>
      <c r="F29" s="17"/>
      <c r="G29" s="17"/>
      <c r="H29" s="17"/>
      <c r="I29" s="17"/>
      <c r="J29" s="16">
        <v>163</v>
      </c>
      <c r="K29" s="5" t="s">
        <v>58</v>
      </c>
      <c r="L29" s="6" t="s">
        <v>59</v>
      </c>
      <c r="M29" s="104"/>
      <c r="N29" s="6" t="s">
        <v>62</v>
      </c>
      <c r="O29" s="5" t="s">
        <v>715</v>
      </c>
      <c r="P29" s="6" t="s">
        <v>27</v>
      </c>
      <c r="Q29" s="7">
        <v>2028</v>
      </c>
      <c r="R29" s="8">
        <v>0.36959999999999998</v>
      </c>
      <c r="S29" s="8">
        <v>0</v>
      </c>
      <c r="T29" s="9">
        <f t="shared" si="1"/>
        <v>0.36959999999999998</v>
      </c>
      <c r="U29" s="8"/>
      <c r="V29" s="8"/>
      <c r="W29" s="8"/>
      <c r="X29" s="10">
        <v>0</v>
      </c>
      <c r="Y29" s="8">
        <v>0.63040000000000007</v>
      </c>
      <c r="Z29" s="11">
        <v>47118</v>
      </c>
      <c r="AA29" s="12"/>
      <c r="AB29" s="22">
        <f t="shared" si="2"/>
        <v>252878</v>
      </c>
      <c r="AC29" s="22"/>
      <c r="AD29" s="4">
        <v>0</v>
      </c>
      <c r="AE29" s="14">
        <f t="shared" si="3"/>
        <v>0</v>
      </c>
      <c r="AF29" s="13">
        <f t="shared" si="4"/>
        <v>32.368383999999999</v>
      </c>
      <c r="AG29" s="4">
        <v>128</v>
      </c>
      <c r="AH29" s="4">
        <v>275</v>
      </c>
      <c r="AI29" s="4">
        <v>919.55636363636359</v>
      </c>
      <c r="AJ29" s="26">
        <v>550</v>
      </c>
      <c r="AK29" s="13">
        <f t="shared" si="5"/>
        <v>139.0829</v>
      </c>
      <c r="AL29" s="13">
        <f t="shared" si="0"/>
        <v>51.405039839999993</v>
      </c>
      <c r="AM29" s="27">
        <v>151250</v>
      </c>
      <c r="AN29" s="20">
        <f t="shared" si="6"/>
        <v>35200</v>
      </c>
      <c r="AO29" s="23">
        <f t="shared" si="7"/>
        <v>1</v>
      </c>
      <c r="AP29" s="24">
        <f t="shared" si="8"/>
        <v>4.296875</v>
      </c>
    </row>
    <row r="30" spans="1:42" x14ac:dyDescent="0.3">
      <c r="A30" t="s">
        <v>586</v>
      </c>
      <c r="B30" s="6" t="s">
        <v>285</v>
      </c>
      <c r="C30" s="15" t="s">
        <v>476</v>
      </c>
      <c r="D30" s="5" t="s">
        <v>550</v>
      </c>
      <c r="E30" s="19">
        <v>1</v>
      </c>
      <c r="F30" s="17"/>
      <c r="G30" s="17"/>
      <c r="H30" s="17"/>
      <c r="I30" s="17"/>
      <c r="J30" s="16">
        <v>164</v>
      </c>
      <c r="K30" s="5" t="s">
        <v>58</v>
      </c>
      <c r="L30" s="6" t="s">
        <v>59</v>
      </c>
      <c r="M30" s="104"/>
      <c r="N30" s="6" t="s">
        <v>63</v>
      </c>
      <c r="O30" s="5" t="s">
        <v>715</v>
      </c>
      <c r="P30" s="6" t="s">
        <v>27</v>
      </c>
      <c r="Q30" s="7">
        <v>2030</v>
      </c>
      <c r="R30" s="8">
        <v>0.36959999999999998</v>
      </c>
      <c r="S30" s="8">
        <v>0</v>
      </c>
      <c r="T30" s="9">
        <f t="shared" si="1"/>
        <v>0.36959999999999998</v>
      </c>
      <c r="U30" s="8"/>
      <c r="V30" s="8"/>
      <c r="W30" s="8"/>
      <c r="X30" s="10">
        <v>0</v>
      </c>
      <c r="Y30" s="8">
        <v>0.63040000000000007</v>
      </c>
      <c r="Z30" s="11">
        <v>47848</v>
      </c>
      <c r="AA30" s="12"/>
      <c r="AB30" s="22">
        <f t="shared" si="2"/>
        <v>220600.51066666664</v>
      </c>
      <c r="AC30" s="22"/>
      <c r="AD30" s="4">
        <v>0</v>
      </c>
      <c r="AE30" s="14">
        <f t="shared" si="3"/>
        <v>0</v>
      </c>
      <c r="AF30" s="13">
        <f t="shared" si="4"/>
        <v>28.23686536533333</v>
      </c>
      <c r="AG30" s="4">
        <v>128</v>
      </c>
      <c r="AH30" s="4">
        <v>275.75063833333331</v>
      </c>
      <c r="AI30" s="4">
        <v>800</v>
      </c>
      <c r="AJ30" s="4">
        <v>530</v>
      </c>
      <c r="AK30" s="13">
        <f t="shared" si="5"/>
        <v>116.91827065333332</v>
      </c>
      <c r="AL30" s="13">
        <f t="shared" si="0"/>
        <v>43.212992833471993</v>
      </c>
      <c r="AM30" s="20">
        <v>146148</v>
      </c>
      <c r="AN30" s="20">
        <f t="shared" si="6"/>
        <v>35296.081706666664</v>
      </c>
      <c r="AO30" s="23">
        <f t="shared" si="7"/>
        <v>1</v>
      </c>
      <c r="AP30" s="24">
        <f t="shared" si="8"/>
        <v>4.140625</v>
      </c>
    </row>
    <row r="31" spans="1:42" x14ac:dyDescent="0.3">
      <c r="A31" t="s">
        <v>586</v>
      </c>
      <c r="B31" s="6" t="s">
        <v>286</v>
      </c>
      <c r="C31" s="15" t="s">
        <v>476</v>
      </c>
      <c r="D31" s="5" t="s">
        <v>550</v>
      </c>
      <c r="E31" s="19">
        <v>1</v>
      </c>
      <c r="F31" s="17"/>
      <c r="G31" s="17"/>
      <c r="H31" s="17"/>
      <c r="I31" s="17"/>
      <c r="J31" s="16">
        <v>165</v>
      </c>
      <c r="K31" s="5" t="s">
        <v>58</v>
      </c>
      <c r="L31" s="6" t="s">
        <v>59</v>
      </c>
      <c r="M31" s="104"/>
      <c r="N31" s="6" t="s">
        <v>64</v>
      </c>
      <c r="O31" s="5" t="s">
        <v>715</v>
      </c>
      <c r="P31" s="6" t="s">
        <v>27</v>
      </c>
      <c r="Q31" s="7">
        <v>2031</v>
      </c>
      <c r="R31" s="8">
        <v>0.36959999999999998</v>
      </c>
      <c r="S31" s="8">
        <v>0</v>
      </c>
      <c r="T31" s="9">
        <f t="shared" si="1"/>
        <v>0.36959999999999998</v>
      </c>
      <c r="U31" s="8"/>
      <c r="V31" s="8"/>
      <c r="W31" s="8"/>
      <c r="X31" s="10">
        <v>0</v>
      </c>
      <c r="Y31" s="8">
        <v>0.63040000000000007</v>
      </c>
      <c r="Z31" s="11">
        <v>48213</v>
      </c>
      <c r="AA31" s="12"/>
      <c r="AB31" s="22">
        <f t="shared" si="2"/>
        <v>220600.51066666664</v>
      </c>
      <c r="AC31" s="22"/>
      <c r="AD31" s="4">
        <v>0</v>
      </c>
      <c r="AE31" s="14">
        <f t="shared" si="3"/>
        <v>0</v>
      </c>
      <c r="AF31" s="13">
        <f t="shared" si="4"/>
        <v>28.23686536533333</v>
      </c>
      <c r="AG31" s="4">
        <v>128</v>
      </c>
      <c r="AH31" s="4">
        <v>275.75063833333331</v>
      </c>
      <c r="AI31" s="4">
        <v>800</v>
      </c>
      <c r="AJ31" s="26">
        <v>550</v>
      </c>
      <c r="AK31" s="13">
        <f t="shared" si="5"/>
        <v>121.33028086666666</v>
      </c>
      <c r="AL31" s="13">
        <f t="shared" si="0"/>
        <v>44.843671808319996</v>
      </c>
      <c r="AM31" s="27">
        <v>151250</v>
      </c>
      <c r="AN31" s="20">
        <f t="shared" si="6"/>
        <v>35296.081706666664</v>
      </c>
      <c r="AO31" s="23">
        <f t="shared" si="7"/>
        <v>1</v>
      </c>
      <c r="AP31" s="24">
        <f t="shared" si="8"/>
        <v>4.296875</v>
      </c>
    </row>
    <row r="32" spans="1:42" x14ac:dyDescent="0.3">
      <c r="A32" t="s">
        <v>586</v>
      </c>
      <c r="B32" s="6" t="s">
        <v>287</v>
      </c>
      <c r="C32" s="15" t="s">
        <v>476</v>
      </c>
      <c r="D32" s="5" t="s">
        <v>550</v>
      </c>
      <c r="E32" s="19">
        <v>1</v>
      </c>
      <c r="F32" s="17"/>
      <c r="G32" s="17"/>
      <c r="H32" s="17"/>
      <c r="I32" s="17"/>
      <c r="J32" s="16">
        <v>166</v>
      </c>
      <c r="K32" s="5" t="s">
        <v>58</v>
      </c>
      <c r="L32" s="6" t="s">
        <v>59</v>
      </c>
      <c r="M32" s="104"/>
      <c r="N32" s="6" t="s">
        <v>65</v>
      </c>
      <c r="O32" s="5" t="s">
        <v>715</v>
      </c>
      <c r="P32" s="6" t="s">
        <v>27</v>
      </c>
      <c r="Q32" s="7">
        <v>2032</v>
      </c>
      <c r="R32" s="8">
        <v>0.36959999999999998</v>
      </c>
      <c r="S32" s="8">
        <v>0</v>
      </c>
      <c r="T32" s="9">
        <f t="shared" si="1"/>
        <v>0.36959999999999998</v>
      </c>
      <c r="U32" s="8"/>
      <c r="V32" s="8"/>
      <c r="W32" s="8"/>
      <c r="X32" s="10">
        <v>0</v>
      </c>
      <c r="Y32" s="8">
        <v>0.63040000000000007</v>
      </c>
      <c r="Z32" s="11">
        <v>48579</v>
      </c>
      <c r="AA32" s="12"/>
      <c r="AB32" s="22">
        <f t="shared" si="2"/>
        <v>220600.51066666664</v>
      </c>
      <c r="AC32" s="22"/>
      <c r="AD32" s="4">
        <v>0</v>
      </c>
      <c r="AE32" s="14">
        <f t="shared" si="3"/>
        <v>0</v>
      </c>
      <c r="AF32" s="13">
        <f t="shared" si="4"/>
        <v>28.23686536533333</v>
      </c>
      <c r="AG32" s="4">
        <v>128</v>
      </c>
      <c r="AH32" s="4">
        <v>275.75063833333331</v>
      </c>
      <c r="AI32" s="4">
        <v>800</v>
      </c>
      <c r="AJ32" s="26">
        <v>550</v>
      </c>
      <c r="AK32" s="13">
        <f t="shared" si="5"/>
        <v>121.33028086666666</v>
      </c>
      <c r="AL32" s="13">
        <f t="shared" si="0"/>
        <v>44.843671808319996</v>
      </c>
      <c r="AM32" s="27">
        <v>151250</v>
      </c>
      <c r="AN32" s="20">
        <f t="shared" si="6"/>
        <v>35296.081706666664</v>
      </c>
      <c r="AO32" s="23">
        <f t="shared" si="7"/>
        <v>1</v>
      </c>
      <c r="AP32" s="24">
        <f t="shared" si="8"/>
        <v>4.296875</v>
      </c>
    </row>
    <row r="33" spans="1:42" x14ac:dyDescent="0.3">
      <c r="A33" t="s">
        <v>586</v>
      </c>
      <c r="B33" s="6" t="s">
        <v>288</v>
      </c>
      <c r="C33" s="15" t="s">
        <v>476</v>
      </c>
      <c r="D33" s="5" t="s">
        <v>550</v>
      </c>
      <c r="E33" s="19">
        <v>1</v>
      </c>
      <c r="F33" s="17"/>
      <c r="G33" s="17"/>
      <c r="H33" s="17"/>
      <c r="I33" s="17"/>
      <c r="J33" s="16">
        <v>167</v>
      </c>
      <c r="K33" s="5" t="s">
        <v>58</v>
      </c>
      <c r="L33" s="6" t="s">
        <v>59</v>
      </c>
      <c r="M33" s="104"/>
      <c r="N33" s="6" t="s">
        <v>66</v>
      </c>
      <c r="O33" s="5" t="s">
        <v>715</v>
      </c>
      <c r="P33" s="6" t="s">
        <v>27</v>
      </c>
      <c r="Q33" s="7">
        <v>2033</v>
      </c>
      <c r="R33" s="8">
        <v>0.36959999999999998</v>
      </c>
      <c r="S33" s="8">
        <v>0</v>
      </c>
      <c r="T33" s="9">
        <f t="shared" si="1"/>
        <v>0.36959999999999998</v>
      </c>
      <c r="U33" s="8"/>
      <c r="V33" s="8"/>
      <c r="W33" s="8"/>
      <c r="X33" s="10">
        <v>0</v>
      </c>
      <c r="Y33" s="8">
        <v>0.63040000000000007</v>
      </c>
      <c r="Z33" s="11">
        <v>48944</v>
      </c>
      <c r="AA33" s="12"/>
      <c r="AB33" s="22">
        <f t="shared" si="2"/>
        <v>220600.51066666664</v>
      </c>
      <c r="AC33" s="22"/>
      <c r="AD33" s="4">
        <v>0</v>
      </c>
      <c r="AE33" s="14">
        <f t="shared" si="3"/>
        <v>0</v>
      </c>
      <c r="AF33" s="13">
        <f t="shared" si="4"/>
        <v>28.23686536533333</v>
      </c>
      <c r="AG33" s="4">
        <v>128</v>
      </c>
      <c r="AH33" s="4">
        <v>275.75063833333331</v>
      </c>
      <c r="AI33" s="4">
        <v>800</v>
      </c>
      <c r="AJ33" s="26">
        <v>550</v>
      </c>
      <c r="AK33" s="13">
        <f t="shared" si="5"/>
        <v>121.33028086666666</v>
      </c>
      <c r="AL33" s="13">
        <f t="shared" si="0"/>
        <v>44.843671808319996</v>
      </c>
      <c r="AM33" s="27">
        <v>151250</v>
      </c>
      <c r="AN33" s="20">
        <f t="shared" si="6"/>
        <v>35296.081706666664</v>
      </c>
      <c r="AO33" s="23">
        <f t="shared" si="7"/>
        <v>1</v>
      </c>
      <c r="AP33" s="24">
        <f t="shared" si="8"/>
        <v>4.296875</v>
      </c>
    </row>
    <row r="34" spans="1:42" x14ac:dyDescent="0.3">
      <c r="A34" t="s">
        <v>586</v>
      </c>
      <c r="B34" s="6" t="s">
        <v>289</v>
      </c>
      <c r="C34" s="15" t="s">
        <v>476</v>
      </c>
      <c r="D34" s="5" t="s">
        <v>550</v>
      </c>
      <c r="E34" s="19">
        <v>1</v>
      </c>
      <c r="F34" s="17"/>
      <c r="G34" s="17"/>
      <c r="H34" s="17"/>
      <c r="I34" s="17"/>
      <c r="J34" s="16">
        <v>168</v>
      </c>
      <c r="K34" s="5" t="s">
        <v>58</v>
      </c>
      <c r="L34" s="6" t="s">
        <v>59</v>
      </c>
      <c r="M34" s="104"/>
      <c r="N34" s="6" t="s">
        <v>67</v>
      </c>
      <c r="O34" s="5" t="s">
        <v>715</v>
      </c>
      <c r="P34" s="6" t="s">
        <v>27</v>
      </c>
      <c r="Q34" s="7">
        <v>2034</v>
      </c>
      <c r="R34" s="8">
        <v>0.36959999999999998</v>
      </c>
      <c r="S34" s="8">
        <v>0</v>
      </c>
      <c r="T34" s="9">
        <f t="shared" si="1"/>
        <v>0.36959999999999998</v>
      </c>
      <c r="U34" s="8"/>
      <c r="V34" s="8"/>
      <c r="W34" s="8"/>
      <c r="X34" s="10">
        <v>0</v>
      </c>
      <c r="Y34" s="8">
        <v>0.63040000000000007</v>
      </c>
      <c r="Z34" s="11">
        <v>49309</v>
      </c>
      <c r="AA34" s="12"/>
      <c r="AB34" s="22">
        <f t="shared" si="2"/>
        <v>220600.51066666664</v>
      </c>
      <c r="AC34" s="22"/>
      <c r="AD34" s="4">
        <v>0</v>
      </c>
      <c r="AE34" s="14">
        <f t="shared" si="3"/>
        <v>0</v>
      </c>
      <c r="AF34" s="13">
        <f t="shared" si="4"/>
        <v>28.23686536533333</v>
      </c>
      <c r="AG34" s="4">
        <v>128</v>
      </c>
      <c r="AH34" s="4">
        <v>275.75063833333331</v>
      </c>
      <c r="AI34" s="4">
        <v>800</v>
      </c>
      <c r="AJ34" s="26">
        <v>550</v>
      </c>
      <c r="AK34" s="13">
        <f t="shared" si="5"/>
        <v>121.33028086666666</v>
      </c>
      <c r="AL34" s="13">
        <f t="shared" si="0"/>
        <v>44.843671808319996</v>
      </c>
      <c r="AM34" s="27">
        <v>151250</v>
      </c>
      <c r="AN34" s="20">
        <f t="shared" si="6"/>
        <v>35296.081706666664</v>
      </c>
      <c r="AO34" s="23">
        <f t="shared" si="7"/>
        <v>1</v>
      </c>
      <c r="AP34" s="24">
        <f t="shared" si="8"/>
        <v>4.296875</v>
      </c>
    </row>
    <row r="35" spans="1:42" x14ac:dyDescent="0.3">
      <c r="A35" t="s">
        <v>586</v>
      </c>
      <c r="B35" s="6" t="s">
        <v>290</v>
      </c>
      <c r="C35" s="15" t="s">
        <v>476</v>
      </c>
      <c r="D35" s="5" t="s">
        <v>550</v>
      </c>
      <c r="E35" s="19">
        <v>1</v>
      </c>
      <c r="F35" s="17"/>
      <c r="G35" s="17"/>
      <c r="H35" s="17"/>
      <c r="I35" s="17"/>
      <c r="J35" s="16">
        <v>169</v>
      </c>
      <c r="K35" s="5" t="s">
        <v>58</v>
      </c>
      <c r="L35" s="6" t="s">
        <v>59</v>
      </c>
      <c r="M35" s="104"/>
      <c r="N35" s="6" t="s">
        <v>68</v>
      </c>
      <c r="O35" s="5" t="s">
        <v>715</v>
      </c>
      <c r="P35" s="6" t="s">
        <v>27</v>
      </c>
      <c r="Q35" s="7">
        <v>2035</v>
      </c>
      <c r="R35" s="8">
        <v>0.36959999999999998</v>
      </c>
      <c r="S35" s="8">
        <v>0</v>
      </c>
      <c r="T35" s="9">
        <f t="shared" si="1"/>
        <v>0.36959999999999998</v>
      </c>
      <c r="U35" s="8"/>
      <c r="V35" s="8"/>
      <c r="W35" s="8"/>
      <c r="X35" s="10">
        <v>0</v>
      </c>
      <c r="Y35" s="8">
        <v>0.63040000000000007</v>
      </c>
      <c r="Z35" s="11">
        <v>49674</v>
      </c>
      <c r="AA35" s="12"/>
      <c r="AB35" s="22">
        <f t="shared" si="2"/>
        <v>220600.51066666664</v>
      </c>
      <c r="AC35" s="22"/>
      <c r="AD35" s="4">
        <v>0</v>
      </c>
      <c r="AE35" s="14">
        <f t="shared" si="3"/>
        <v>0</v>
      </c>
      <c r="AF35" s="13">
        <f t="shared" si="4"/>
        <v>28.23686536533333</v>
      </c>
      <c r="AG35" s="4">
        <v>128</v>
      </c>
      <c r="AH35" s="4">
        <v>275.75063833333331</v>
      </c>
      <c r="AI35" s="4">
        <v>800</v>
      </c>
      <c r="AJ35" s="26">
        <v>550</v>
      </c>
      <c r="AK35" s="13">
        <f t="shared" si="5"/>
        <v>121.33028086666666</v>
      </c>
      <c r="AL35" s="13">
        <f t="shared" si="0"/>
        <v>44.843671808319996</v>
      </c>
      <c r="AM35" s="27">
        <v>151250</v>
      </c>
      <c r="AN35" s="20">
        <f t="shared" si="6"/>
        <v>35296.081706666664</v>
      </c>
      <c r="AO35" s="23">
        <f t="shared" si="7"/>
        <v>1</v>
      </c>
      <c r="AP35" s="24">
        <f t="shared" si="8"/>
        <v>4.296875</v>
      </c>
    </row>
    <row r="36" spans="1:42" x14ac:dyDescent="0.3">
      <c r="A36" t="s">
        <v>586</v>
      </c>
      <c r="B36" s="6" t="s">
        <v>291</v>
      </c>
      <c r="C36" s="15" t="s">
        <v>476</v>
      </c>
      <c r="D36" s="5" t="s">
        <v>550</v>
      </c>
      <c r="E36" s="19">
        <v>1</v>
      </c>
      <c r="F36" s="17"/>
      <c r="G36" s="17"/>
      <c r="H36" s="17"/>
      <c r="I36" s="17"/>
      <c r="J36" s="16">
        <v>170</v>
      </c>
      <c r="K36" s="5" t="s">
        <v>58</v>
      </c>
      <c r="L36" s="6" t="s">
        <v>59</v>
      </c>
      <c r="M36" s="104"/>
      <c r="N36" s="6" t="s">
        <v>69</v>
      </c>
      <c r="O36" s="5" t="s">
        <v>715</v>
      </c>
      <c r="P36" s="6" t="s">
        <v>27</v>
      </c>
      <c r="Q36" s="7">
        <v>2036</v>
      </c>
      <c r="R36" s="8">
        <v>0.36959999999999998</v>
      </c>
      <c r="S36" s="8">
        <v>0</v>
      </c>
      <c r="T36" s="9">
        <f t="shared" si="1"/>
        <v>0.36959999999999998</v>
      </c>
      <c r="U36" s="8"/>
      <c r="V36" s="8"/>
      <c r="W36" s="8"/>
      <c r="X36" s="10">
        <v>0</v>
      </c>
      <c r="Y36" s="8">
        <v>0.63040000000000007</v>
      </c>
      <c r="Z36" s="11">
        <v>50040</v>
      </c>
      <c r="AA36" s="12"/>
      <c r="AB36" s="22">
        <f t="shared" si="2"/>
        <v>220600.51066666664</v>
      </c>
      <c r="AC36" s="22"/>
      <c r="AD36" s="4">
        <v>0</v>
      </c>
      <c r="AE36" s="14">
        <f t="shared" si="3"/>
        <v>0</v>
      </c>
      <c r="AF36" s="13">
        <f t="shared" si="4"/>
        <v>28.23686536533333</v>
      </c>
      <c r="AG36" s="4">
        <v>128</v>
      </c>
      <c r="AH36" s="4">
        <v>275.75063833333331</v>
      </c>
      <c r="AI36" s="4">
        <v>800</v>
      </c>
      <c r="AJ36" s="26">
        <v>550</v>
      </c>
      <c r="AK36" s="13">
        <f t="shared" si="5"/>
        <v>121.33028086666666</v>
      </c>
      <c r="AL36" s="13">
        <f t="shared" si="0"/>
        <v>44.843671808319996</v>
      </c>
      <c r="AM36" s="27">
        <v>151250</v>
      </c>
      <c r="AN36" s="20">
        <f t="shared" si="6"/>
        <v>35296.081706666664</v>
      </c>
      <c r="AO36" s="23">
        <f t="shared" si="7"/>
        <v>1</v>
      </c>
      <c r="AP36" s="24">
        <f t="shared" si="8"/>
        <v>4.296875</v>
      </c>
    </row>
    <row r="37" spans="1:42" x14ac:dyDescent="0.3">
      <c r="A37" t="s">
        <v>586</v>
      </c>
      <c r="B37" s="6" t="s">
        <v>292</v>
      </c>
      <c r="C37" s="15" t="s">
        <v>476</v>
      </c>
      <c r="D37" s="5" t="s">
        <v>550</v>
      </c>
      <c r="E37" s="19">
        <v>1</v>
      </c>
      <c r="F37" s="17"/>
      <c r="G37" s="17"/>
      <c r="H37" s="17"/>
      <c r="I37" s="17"/>
      <c r="J37" s="16">
        <v>171</v>
      </c>
      <c r="K37" s="5" t="s">
        <v>58</v>
      </c>
      <c r="L37" s="6" t="s">
        <v>59</v>
      </c>
      <c r="M37" s="104"/>
      <c r="N37" s="6" t="s">
        <v>70</v>
      </c>
      <c r="O37" s="5" t="s">
        <v>715</v>
      </c>
      <c r="P37" s="6" t="s">
        <v>27</v>
      </c>
      <c r="Q37" s="7">
        <v>2037</v>
      </c>
      <c r="R37" s="8">
        <v>0.36959999999999998</v>
      </c>
      <c r="S37" s="8">
        <v>0</v>
      </c>
      <c r="T37" s="9">
        <f t="shared" si="1"/>
        <v>0.36959999999999998</v>
      </c>
      <c r="U37" s="8"/>
      <c r="V37" s="8"/>
      <c r="W37" s="8"/>
      <c r="X37" s="10">
        <v>0</v>
      </c>
      <c r="Y37" s="8">
        <v>0.63040000000000007</v>
      </c>
      <c r="Z37" s="11">
        <v>50405</v>
      </c>
      <c r="AA37" s="12"/>
      <c r="AB37" s="22">
        <f t="shared" si="2"/>
        <v>220600.51066666664</v>
      </c>
      <c r="AC37" s="22"/>
      <c r="AD37" s="4">
        <v>0</v>
      </c>
      <c r="AE37" s="14">
        <f t="shared" si="3"/>
        <v>0</v>
      </c>
      <c r="AF37" s="13">
        <f t="shared" si="4"/>
        <v>28.23686536533333</v>
      </c>
      <c r="AG37" s="4">
        <v>128</v>
      </c>
      <c r="AH37" s="4">
        <v>275.75063833333331</v>
      </c>
      <c r="AI37" s="4">
        <v>800</v>
      </c>
      <c r="AJ37" s="26">
        <v>550</v>
      </c>
      <c r="AK37" s="13">
        <f t="shared" si="5"/>
        <v>121.33028086666666</v>
      </c>
      <c r="AL37" s="13">
        <f t="shared" si="0"/>
        <v>44.843671808319996</v>
      </c>
      <c r="AM37" s="27">
        <v>151250</v>
      </c>
      <c r="AN37" s="20">
        <f t="shared" si="6"/>
        <v>35296.081706666664</v>
      </c>
      <c r="AO37" s="23">
        <f t="shared" si="7"/>
        <v>1</v>
      </c>
      <c r="AP37" s="24">
        <f t="shared" si="8"/>
        <v>4.296875</v>
      </c>
    </row>
    <row r="38" spans="1:42" x14ac:dyDescent="0.3">
      <c r="A38" t="s">
        <v>586</v>
      </c>
      <c r="B38" s="6" t="s">
        <v>293</v>
      </c>
      <c r="C38" s="15" t="s">
        <v>476</v>
      </c>
      <c r="D38" s="5" t="s">
        <v>550</v>
      </c>
      <c r="E38" s="19">
        <v>1</v>
      </c>
      <c r="F38" s="17"/>
      <c r="G38" s="17"/>
      <c r="H38" s="17"/>
      <c r="I38" s="17"/>
      <c r="J38" s="16">
        <v>172</v>
      </c>
      <c r="K38" s="5" t="s">
        <v>58</v>
      </c>
      <c r="L38" s="6" t="s">
        <v>59</v>
      </c>
      <c r="M38" s="104"/>
      <c r="N38" s="6" t="s">
        <v>71</v>
      </c>
      <c r="O38" s="5" t="s">
        <v>715</v>
      </c>
      <c r="P38" s="6" t="s">
        <v>27</v>
      </c>
      <c r="Q38" s="7">
        <v>2038</v>
      </c>
      <c r="R38" s="8">
        <v>0.36959999999999998</v>
      </c>
      <c r="S38" s="8">
        <v>0</v>
      </c>
      <c r="T38" s="9">
        <f t="shared" si="1"/>
        <v>0.36959999999999998</v>
      </c>
      <c r="U38" s="8"/>
      <c r="V38" s="8"/>
      <c r="W38" s="8"/>
      <c r="X38" s="10">
        <v>0</v>
      </c>
      <c r="Y38" s="8">
        <v>0.63040000000000007</v>
      </c>
      <c r="Z38" s="11">
        <v>50770</v>
      </c>
      <c r="AA38" s="12"/>
      <c r="AB38" s="22">
        <f t="shared" si="2"/>
        <v>220600.51066666664</v>
      </c>
      <c r="AC38" s="22"/>
      <c r="AD38" s="4">
        <v>0</v>
      </c>
      <c r="AE38" s="14">
        <f t="shared" si="3"/>
        <v>0</v>
      </c>
      <c r="AF38" s="13">
        <f t="shared" si="4"/>
        <v>28.23686536533333</v>
      </c>
      <c r="AG38" s="4">
        <v>128</v>
      </c>
      <c r="AH38" s="4">
        <v>275.75063833333331</v>
      </c>
      <c r="AI38" s="4">
        <v>800</v>
      </c>
      <c r="AJ38" s="26">
        <v>550</v>
      </c>
      <c r="AK38" s="13">
        <f t="shared" si="5"/>
        <v>121.33028086666666</v>
      </c>
      <c r="AL38" s="13">
        <f t="shared" si="0"/>
        <v>44.843671808319996</v>
      </c>
      <c r="AM38" s="27">
        <v>151250</v>
      </c>
      <c r="AN38" s="20">
        <f t="shared" si="6"/>
        <v>35296.081706666664</v>
      </c>
      <c r="AO38" s="23">
        <f t="shared" si="7"/>
        <v>1</v>
      </c>
      <c r="AP38" s="24">
        <f t="shared" si="8"/>
        <v>4.296875</v>
      </c>
    </row>
    <row r="39" spans="1:42" x14ac:dyDescent="0.3">
      <c r="A39" t="s">
        <v>586</v>
      </c>
      <c r="B39" s="6" t="s">
        <v>294</v>
      </c>
      <c r="C39" s="15" t="s">
        <v>476</v>
      </c>
      <c r="D39" s="5" t="s">
        <v>550</v>
      </c>
      <c r="E39" s="19">
        <v>1</v>
      </c>
      <c r="F39" s="17"/>
      <c r="G39" s="17"/>
      <c r="H39" s="17"/>
      <c r="I39" s="17"/>
      <c r="J39" s="16">
        <v>173</v>
      </c>
      <c r="K39" s="5" t="s">
        <v>58</v>
      </c>
      <c r="L39" s="6" t="s">
        <v>59</v>
      </c>
      <c r="M39" s="104"/>
      <c r="N39" s="6" t="s">
        <v>72</v>
      </c>
      <c r="O39" s="5" t="s">
        <v>715</v>
      </c>
      <c r="P39" s="6" t="s">
        <v>27</v>
      </c>
      <c r="Q39" s="7">
        <v>2039</v>
      </c>
      <c r="R39" s="8">
        <v>0.36959999999999998</v>
      </c>
      <c r="S39" s="8">
        <v>0</v>
      </c>
      <c r="T39" s="9">
        <f t="shared" si="1"/>
        <v>0.36959999999999998</v>
      </c>
      <c r="U39" s="8"/>
      <c r="V39" s="8"/>
      <c r="W39" s="8"/>
      <c r="X39" s="10">
        <v>0</v>
      </c>
      <c r="Y39" s="8">
        <v>0.63040000000000007</v>
      </c>
      <c r="Z39" s="11">
        <v>51135</v>
      </c>
      <c r="AA39" s="12"/>
      <c r="AB39" s="22">
        <f t="shared" si="2"/>
        <v>220600.51066666664</v>
      </c>
      <c r="AC39" s="22"/>
      <c r="AD39" s="4">
        <v>0</v>
      </c>
      <c r="AE39" s="14">
        <f t="shared" si="3"/>
        <v>0</v>
      </c>
      <c r="AF39" s="13">
        <f t="shared" si="4"/>
        <v>28.23686536533333</v>
      </c>
      <c r="AG39" s="4">
        <v>128</v>
      </c>
      <c r="AH39" s="4">
        <v>275.75063833333331</v>
      </c>
      <c r="AI39" s="4">
        <v>800</v>
      </c>
      <c r="AJ39" s="26">
        <v>550</v>
      </c>
      <c r="AK39" s="13">
        <f t="shared" si="5"/>
        <v>121.33028086666666</v>
      </c>
      <c r="AL39" s="13">
        <f t="shared" si="0"/>
        <v>44.843671808319996</v>
      </c>
      <c r="AM39" s="27">
        <v>151250</v>
      </c>
      <c r="AN39" s="20">
        <f t="shared" si="6"/>
        <v>35296.081706666664</v>
      </c>
      <c r="AO39" s="23">
        <f t="shared" si="7"/>
        <v>1</v>
      </c>
      <c r="AP39" s="24">
        <f t="shared" si="8"/>
        <v>4.296875</v>
      </c>
    </row>
    <row r="40" spans="1:42" x14ac:dyDescent="0.3">
      <c r="A40" t="s">
        <v>586</v>
      </c>
      <c r="B40" s="6" t="s">
        <v>295</v>
      </c>
      <c r="C40" s="15" t="s">
        <v>476</v>
      </c>
      <c r="D40" s="5" t="s">
        <v>550</v>
      </c>
      <c r="E40" s="19">
        <v>1</v>
      </c>
      <c r="F40" s="17"/>
      <c r="G40" s="17"/>
      <c r="H40" s="17"/>
      <c r="I40" s="17"/>
      <c r="J40" s="16">
        <v>174</v>
      </c>
      <c r="K40" s="5" t="s">
        <v>58</v>
      </c>
      <c r="L40" s="6" t="s">
        <v>59</v>
      </c>
      <c r="M40" s="104"/>
      <c r="N40" s="6" t="s">
        <v>73</v>
      </c>
      <c r="O40" s="5" t="s">
        <v>715</v>
      </c>
      <c r="P40" s="6" t="s">
        <v>27</v>
      </c>
      <c r="Q40" s="7">
        <v>2040</v>
      </c>
      <c r="R40" s="8">
        <v>0.36959999999999998</v>
      </c>
      <c r="S40" s="8">
        <v>0</v>
      </c>
      <c r="T40" s="9">
        <f t="shared" si="1"/>
        <v>0.36959999999999998</v>
      </c>
      <c r="U40" s="8"/>
      <c r="V40" s="8"/>
      <c r="W40" s="8"/>
      <c r="X40" s="10">
        <v>0</v>
      </c>
      <c r="Y40" s="8">
        <v>0.63040000000000007</v>
      </c>
      <c r="Z40" s="11">
        <v>51501</v>
      </c>
      <c r="AA40" s="12"/>
      <c r="AB40" s="22">
        <f t="shared" si="2"/>
        <v>220600.51066666664</v>
      </c>
      <c r="AC40" s="22"/>
      <c r="AD40" s="4">
        <v>0</v>
      </c>
      <c r="AE40" s="14">
        <f t="shared" si="3"/>
        <v>0</v>
      </c>
      <c r="AF40" s="13">
        <f t="shared" si="4"/>
        <v>28.23686536533333</v>
      </c>
      <c r="AG40" s="4">
        <v>128</v>
      </c>
      <c r="AH40" s="4">
        <v>275.75063833333331</v>
      </c>
      <c r="AI40" s="4">
        <v>800</v>
      </c>
      <c r="AJ40" s="26">
        <v>550</v>
      </c>
      <c r="AK40" s="13">
        <f t="shared" si="5"/>
        <v>121.33028086666666</v>
      </c>
      <c r="AL40" s="13">
        <f t="shared" si="0"/>
        <v>44.843671808319996</v>
      </c>
      <c r="AM40" s="27">
        <v>151250</v>
      </c>
      <c r="AN40" s="20">
        <f t="shared" si="6"/>
        <v>35296.081706666664</v>
      </c>
      <c r="AO40" s="23">
        <f t="shared" si="7"/>
        <v>1</v>
      </c>
      <c r="AP40" s="24">
        <f t="shared" si="8"/>
        <v>4.296875</v>
      </c>
    </row>
    <row r="41" spans="1:42" x14ac:dyDescent="0.3">
      <c r="A41" t="s">
        <v>586</v>
      </c>
      <c r="B41" s="6" t="s">
        <v>296</v>
      </c>
      <c r="C41" s="15" t="s">
        <v>476</v>
      </c>
      <c r="D41" s="5" t="s">
        <v>550</v>
      </c>
      <c r="E41" s="19">
        <v>1</v>
      </c>
      <c r="F41" s="17"/>
      <c r="G41" s="17"/>
      <c r="H41" s="17"/>
      <c r="I41" s="17"/>
      <c r="J41" s="16">
        <v>175</v>
      </c>
      <c r="K41" s="5" t="s">
        <v>58</v>
      </c>
      <c r="L41" s="6" t="s">
        <v>59</v>
      </c>
      <c r="M41" s="104"/>
      <c r="N41" s="6" t="s">
        <v>74</v>
      </c>
      <c r="O41" s="5" t="s">
        <v>715</v>
      </c>
      <c r="P41" s="6" t="s">
        <v>27</v>
      </c>
      <c r="Q41" s="7">
        <v>2041</v>
      </c>
      <c r="R41" s="8">
        <v>0.36959999999999998</v>
      </c>
      <c r="S41" s="8">
        <v>0</v>
      </c>
      <c r="T41" s="9">
        <f t="shared" si="1"/>
        <v>0.36959999999999998</v>
      </c>
      <c r="U41" s="8"/>
      <c r="V41" s="8"/>
      <c r="W41" s="8"/>
      <c r="X41" s="10">
        <v>0</v>
      </c>
      <c r="Y41" s="8">
        <v>0.63040000000000007</v>
      </c>
      <c r="Z41" s="11">
        <v>51866</v>
      </c>
      <c r="AA41" s="12"/>
      <c r="AB41" s="22">
        <f t="shared" si="2"/>
        <v>220600.51066666664</v>
      </c>
      <c r="AC41" s="22"/>
      <c r="AD41" s="4">
        <v>0</v>
      </c>
      <c r="AE41" s="14">
        <f t="shared" si="3"/>
        <v>0</v>
      </c>
      <c r="AF41" s="13">
        <f t="shared" si="4"/>
        <v>28.23686536533333</v>
      </c>
      <c r="AG41" s="4">
        <v>128</v>
      </c>
      <c r="AH41" s="4">
        <v>275.75063833333331</v>
      </c>
      <c r="AI41" s="4">
        <v>800</v>
      </c>
      <c r="AJ41" s="26">
        <v>550</v>
      </c>
      <c r="AK41" s="13">
        <f t="shared" si="5"/>
        <v>121.33028086666666</v>
      </c>
      <c r="AL41" s="13">
        <f t="shared" si="0"/>
        <v>44.843671808319996</v>
      </c>
      <c r="AM41" s="27">
        <v>151250</v>
      </c>
      <c r="AN41" s="20">
        <f t="shared" si="6"/>
        <v>35296.081706666664</v>
      </c>
      <c r="AO41" s="23">
        <f t="shared" si="7"/>
        <v>1</v>
      </c>
      <c r="AP41" s="24">
        <f t="shared" si="8"/>
        <v>4.296875</v>
      </c>
    </row>
    <row r="42" spans="1:42" x14ac:dyDescent="0.3">
      <c r="A42" t="s">
        <v>586</v>
      </c>
      <c r="B42" s="6" t="s">
        <v>297</v>
      </c>
      <c r="C42" s="15" t="s">
        <v>476</v>
      </c>
      <c r="D42" s="5" t="s">
        <v>550</v>
      </c>
      <c r="E42" s="19">
        <v>1</v>
      </c>
      <c r="F42" s="17"/>
      <c r="G42" s="17"/>
      <c r="H42" s="17"/>
      <c r="I42" s="17"/>
      <c r="J42" s="16">
        <v>176</v>
      </c>
      <c r="K42" s="5" t="s">
        <v>58</v>
      </c>
      <c r="L42" s="6" t="s">
        <v>59</v>
      </c>
      <c r="M42" s="104"/>
      <c r="N42" s="6" t="s">
        <v>75</v>
      </c>
      <c r="O42" s="5" t="s">
        <v>715</v>
      </c>
      <c r="P42" s="6" t="s">
        <v>27</v>
      </c>
      <c r="Q42" s="7">
        <v>2042</v>
      </c>
      <c r="R42" s="8">
        <v>0.36959999999999998</v>
      </c>
      <c r="S42" s="8">
        <v>0</v>
      </c>
      <c r="T42" s="9">
        <f t="shared" si="1"/>
        <v>0.36959999999999998</v>
      </c>
      <c r="U42" s="8"/>
      <c r="V42" s="8"/>
      <c r="W42" s="8"/>
      <c r="X42" s="10">
        <v>0</v>
      </c>
      <c r="Y42" s="8">
        <v>0.63040000000000007</v>
      </c>
      <c r="Z42" s="11">
        <v>52231</v>
      </c>
      <c r="AA42" s="12"/>
      <c r="AB42" s="22">
        <f t="shared" si="2"/>
        <v>220600.51066666664</v>
      </c>
      <c r="AC42" s="22"/>
      <c r="AD42" s="4">
        <v>0</v>
      </c>
      <c r="AE42" s="14">
        <f t="shared" si="3"/>
        <v>0</v>
      </c>
      <c r="AF42" s="13">
        <f t="shared" si="4"/>
        <v>28.23686536533333</v>
      </c>
      <c r="AG42" s="4">
        <v>128</v>
      </c>
      <c r="AH42" s="4">
        <v>275.75063833333331</v>
      </c>
      <c r="AI42" s="4">
        <v>800</v>
      </c>
      <c r="AJ42" s="26">
        <v>550</v>
      </c>
      <c r="AK42" s="13">
        <f t="shared" si="5"/>
        <v>121.33028086666666</v>
      </c>
      <c r="AL42" s="13">
        <f t="shared" si="0"/>
        <v>44.843671808319996</v>
      </c>
      <c r="AM42" s="27">
        <v>151250</v>
      </c>
      <c r="AN42" s="20">
        <f t="shared" si="6"/>
        <v>35296.081706666664</v>
      </c>
      <c r="AO42" s="23">
        <f t="shared" si="7"/>
        <v>1</v>
      </c>
      <c r="AP42" s="24">
        <f t="shared" si="8"/>
        <v>4.296875</v>
      </c>
    </row>
    <row r="43" spans="1:42" x14ac:dyDescent="0.3">
      <c r="A43" t="s">
        <v>586</v>
      </c>
      <c r="B43" s="6" t="s">
        <v>298</v>
      </c>
      <c r="C43" s="15" t="s">
        <v>476</v>
      </c>
      <c r="D43" s="5" t="s">
        <v>550</v>
      </c>
      <c r="E43" s="19">
        <v>1</v>
      </c>
      <c r="F43" s="17"/>
      <c r="G43" s="17"/>
      <c r="H43" s="17"/>
      <c r="I43" s="17"/>
      <c r="J43" s="16">
        <v>177</v>
      </c>
      <c r="K43" s="5" t="s">
        <v>58</v>
      </c>
      <c r="L43" s="6" t="s">
        <v>59</v>
      </c>
      <c r="M43" s="104"/>
      <c r="N43" s="6" t="s">
        <v>76</v>
      </c>
      <c r="O43" s="5" t="s">
        <v>715</v>
      </c>
      <c r="P43" s="6" t="s">
        <v>27</v>
      </c>
      <c r="Q43" s="7">
        <v>2043</v>
      </c>
      <c r="R43" s="8">
        <v>0.36959999999999998</v>
      </c>
      <c r="S43" s="8">
        <v>0</v>
      </c>
      <c r="T43" s="9">
        <f t="shared" si="1"/>
        <v>0.36959999999999998</v>
      </c>
      <c r="U43" s="8"/>
      <c r="V43" s="8"/>
      <c r="W43" s="8"/>
      <c r="X43" s="10">
        <v>0</v>
      </c>
      <c r="Y43" s="8">
        <v>0.63040000000000007</v>
      </c>
      <c r="Z43" s="11">
        <v>52596</v>
      </c>
      <c r="AA43" s="12"/>
      <c r="AB43" s="22">
        <f t="shared" si="2"/>
        <v>220600.51066666664</v>
      </c>
      <c r="AC43" s="22"/>
      <c r="AD43" s="4">
        <v>0</v>
      </c>
      <c r="AE43" s="14">
        <f t="shared" si="3"/>
        <v>0</v>
      </c>
      <c r="AF43" s="13">
        <f t="shared" si="4"/>
        <v>28.23686536533333</v>
      </c>
      <c r="AG43" s="4">
        <v>128</v>
      </c>
      <c r="AH43" s="4">
        <v>275.75063833333331</v>
      </c>
      <c r="AI43" s="4">
        <v>800</v>
      </c>
      <c r="AJ43" s="26">
        <v>550</v>
      </c>
      <c r="AK43" s="13">
        <f t="shared" si="5"/>
        <v>121.33028086666666</v>
      </c>
      <c r="AL43" s="13">
        <f t="shared" si="0"/>
        <v>44.843671808319996</v>
      </c>
      <c r="AM43" s="27">
        <v>151250</v>
      </c>
      <c r="AN43" s="20">
        <f t="shared" si="6"/>
        <v>35296.081706666664</v>
      </c>
      <c r="AO43" s="23">
        <f t="shared" si="7"/>
        <v>1</v>
      </c>
      <c r="AP43" s="24">
        <f t="shared" si="8"/>
        <v>4.296875</v>
      </c>
    </row>
    <row r="44" spans="1:42" x14ac:dyDescent="0.3">
      <c r="A44" t="s">
        <v>586</v>
      </c>
      <c r="B44" s="6" t="s">
        <v>299</v>
      </c>
      <c r="C44" s="15" t="s">
        <v>476</v>
      </c>
      <c r="D44" s="5" t="s">
        <v>550</v>
      </c>
      <c r="E44" s="19">
        <v>1</v>
      </c>
      <c r="F44" s="17"/>
      <c r="G44" s="17"/>
      <c r="H44" s="17"/>
      <c r="I44" s="17"/>
      <c r="J44" s="16">
        <v>178</v>
      </c>
      <c r="K44" s="5" t="s">
        <v>58</v>
      </c>
      <c r="L44" s="6" t="s">
        <v>59</v>
      </c>
      <c r="M44" s="104"/>
      <c r="N44" s="6" t="s">
        <v>77</v>
      </c>
      <c r="O44" s="5" t="s">
        <v>715</v>
      </c>
      <c r="P44" s="6" t="s">
        <v>27</v>
      </c>
      <c r="Q44" s="7">
        <v>2044</v>
      </c>
      <c r="R44" s="8">
        <v>0.36959999999999998</v>
      </c>
      <c r="S44" s="8">
        <v>0</v>
      </c>
      <c r="T44" s="9">
        <f t="shared" si="1"/>
        <v>0.36959999999999998</v>
      </c>
      <c r="U44" s="8"/>
      <c r="V44" s="8"/>
      <c r="W44" s="8"/>
      <c r="X44" s="10">
        <v>0</v>
      </c>
      <c r="Y44" s="8">
        <v>0.63040000000000007</v>
      </c>
      <c r="Z44" s="11">
        <v>52962</v>
      </c>
      <c r="AA44" s="12"/>
      <c r="AB44" s="22">
        <f t="shared" si="2"/>
        <v>220600.51066666664</v>
      </c>
      <c r="AC44" s="22"/>
      <c r="AD44" s="4">
        <v>0</v>
      </c>
      <c r="AE44" s="14">
        <f t="shared" si="3"/>
        <v>0</v>
      </c>
      <c r="AF44" s="13">
        <f t="shared" si="4"/>
        <v>28.23686536533333</v>
      </c>
      <c r="AG44" s="4">
        <v>128</v>
      </c>
      <c r="AH44" s="4">
        <v>275.75063833333331</v>
      </c>
      <c r="AI44" s="4">
        <v>800</v>
      </c>
      <c r="AJ44" s="26">
        <v>550</v>
      </c>
      <c r="AK44" s="13">
        <f t="shared" si="5"/>
        <v>121.33028086666666</v>
      </c>
      <c r="AL44" s="13">
        <f t="shared" si="0"/>
        <v>44.843671808319996</v>
      </c>
      <c r="AM44" s="27">
        <v>151250</v>
      </c>
      <c r="AN44" s="20">
        <f t="shared" si="6"/>
        <v>35296.081706666664</v>
      </c>
      <c r="AO44" s="23">
        <f t="shared" si="7"/>
        <v>1</v>
      </c>
      <c r="AP44" s="24">
        <f t="shared" si="8"/>
        <v>4.296875</v>
      </c>
    </row>
    <row r="45" spans="1:42" x14ac:dyDescent="0.3">
      <c r="A45" t="s">
        <v>586</v>
      </c>
      <c r="B45" s="6" t="s">
        <v>300</v>
      </c>
      <c r="C45" s="15" t="s">
        <v>476</v>
      </c>
      <c r="D45" s="5" t="s">
        <v>550</v>
      </c>
      <c r="E45" s="19">
        <v>1</v>
      </c>
      <c r="F45" s="17"/>
      <c r="G45" s="17"/>
      <c r="H45" s="17"/>
      <c r="I45" s="17"/>
      <c r="J45" s="16">
        <v>179</v>
      </c>
      <c r="K45" s="5" t="s">
        <v>58</v>
      </c>
      <c r="L45" s="6" t="s">
        <v>59</v>
      </c>
      <c r="M45" s="104"/>
      <c r="N45" s="6" t="s">
        <v>78</v>
      </c>
      <c r="O45" s="5" t="s">
        <v>715</v>
      </c>
      <c r="P45" s="6" t="s">
        <v>27</v>
      </c>
      <c r="Q45" s="7">
        <v>2029</v>
      </c>
      <c r="R45" s="8">
        <v>0.6</v>
      </c>
      <c r="S45" s="8">
        <v>0</v>
      </c>
      <c r="T45" s="9">
        <f t="shared" si="1"/>
        <v>0.6</v>
      </c>
      <c r="U45" s="8"/>
      <c r="V45" s="8"/>
      <c r="W45" s="8"/>
      <c r="X45" s="10">
        <v>0</v>
      </c>
      <c r="Y45" s="8">
        <v>0.4</v>
      </c>
      <c r="Z45" s="11">
        <v>47483</v>
      </c>
      <c r="AA45" s="12"/>
      <c r="AB45" s="22">
        <f t="shared" si="2"/>
        <v>160000</v>
      </c>
      <c r="AC45" s="22"/>
      <c r="AD45" s="4">
        <v>0</v>
      </c>
      <c r="AE45" s="14">
        <f>IF(AK45=0,0,AD45/AK45)</f>
        <v>0</v>
      </c>
      <c r="AF45" s="13">
        <f t="shared" si="4"/>
        <v>20.48</v>
      </c>
      <c r="AG45" s="4">
        <v>128</v>
      </c>
      <c r="AH45" s="4">
        <v>300.18761726078799</v>
      </c>
      <c r="AI45" s="4">
        <v>533</v>
      </c>
      <c r="AJ45" s="26">
        <v>500</v>
      </c>
      <c r="AK45" s="13">
        <f t="shared" si="5"/>
        <v>80</v>
      </c>
      <c r="AL45" s="13">
        <f t="shared" si="0"/>
        <v>48</v>
      </c>
      <c r="AM45" s="27">
        <v>150000</v>
      </c>
      <c r="AN45" s="20">
        <f t="shared" si="6"/>
        <v>38424.015009380862</v>
      </c>
      <c r="AO45" s="23">
        <f t="shared" si="7"/>
        <v>1</v>
      </c>
      <c r="AP45" s="24">
        <f t="shared" si="8"/>
        <v>3.90625</v>
      </c>
    </row>
    <row r="46" spans="1:42" x14ac:dyDescent="0.3">
      <c r="A46" t="s">
        <v>587</v>
      </c>
      <c r="B46" s="6" t="s">
        <v>559</v>
      </c>
      <c r="C46" s="15" t="s">
        <v>477</v>
      </c>
      <c r="D46" s="5" t="s">
        <v>550</v>
      </c>
      <c r="E46" s="19">
        <v>1</v>
      </c>
      <c r="F46" s="17"/>
      <c r="G46" s="17"/>
      <c r="H46" s="17"/>
      <c r="I46" s="17"/>
      <c r="J46" s="16">
        <v>180</v>
      </c>
      <c r="K46" s="5" t="s">
        <v>58</v>
      </c>
      <c r="L46" s="6" t="s">
        <v>59</v>
      </c>
      <c r="M46" s="104"/>
      <c r="N46" s="6" t="s">
        <v>79</v>
      </c>
      <c r="O46" s="5" t="s">
        <v>715</v>
      </c>
      <c r="P46" s="6" t="s">
        <v>80</v>
      </c>
      <c r="Q46" s="7">
        <v>2029</v>
      </c>
      <c r="R46" s="8">
        <v>0.438</v>
      </c>
      <c r="S46" s="8">
        <v>0.27</v>
      </c>
      <c r="T46" s="9">
        <f t="shared" si="1"/>
        <v>0.70799999999999996</v>
      </c>
      <c r="U46" s="8">
        <v>0.05</v>
      </c>
      <c r="V46" s="8">
        <v>9.0000000000000011E-2</v>
      </c>
      <c r="W46" s="8">
        <v>6.8000000000000005E-2</v>
      </c>
      <c r="X46" s="10">
        <v>0.21384</v>
      </c>
      <c r="Y46" s="8">
        <v>0.29200000000000004</v>
      </c>
      <c r="Z46" s="11">
        <v>47483</v>
      </c>
      <c r="AA46" s="12"/>
      <c r="AB46" s="22">
        <f t="shared" si="2"/>
        <v>202246.8762222222</v>
      </c>
      <c r="AC46" s="22"/>
      <c r="AD46" s="4">
        <v>43.893403429627</v>
      </c>
      <c r="AE46" s="14">
        <f>IF(AK46=0,0,AD46/AK46)</f>
        <v>0.24114314725708666</v>
      </c>
      <c r="AF46" s="13">
        <f t="shared" si="4"/>
        <v>44.494312768888889</v>
      </c>
      <c r="AG46" s="4">
        <v>220</v>
      </c>
      <c r="AH46" s="4">
        <v>439.66712222222219</v>
      </c>
      <c r="AI46" s="4">
        <v>460</v>
      </c>
      <c r="AJ46" s="4">
        <v>900</v>
      </c>
      <c r="AK46" s="4">
        <f>(AJ46*AI46*AH46)/10^6</f>
        <v>182.02218859999999</v>
      </c>
      <c r="AL46" s="4">
        <f t="shared" si="0"/>
        <v>79.725718606800001</v>
      </c>
      <c r="AM46" s="4">
        <v>395700</v>
      </c>
      <c r="AN46" s="20">
        <f t="shared" si="6"/>
        <v>96726.766888888887</v>
      </c>
      <c r="AO46" s="23">
        <f t="shared" si="7"/>
        <v>0.73</v>
      </c>
      <c r="AP46" s="24">
        <f t="shared" si="8"/>
        <v>1.5033333068541384</v>
      </c>
    </row>
    <row r="47" spans="1:42" x14ac:dyDescent="0.3">
      <c r="A47" t="s">
        <v>587</v>
      </c>
      <c r="B47" s="6" t="s">
        <v>560</v>
      </c>
      <c r="C47" s="15" t="s">
        <v>477</v>
      </c>
      <c r="D47" s="5" t="s">
        <v>550</v>
      </c>
      <c r="E47" s="19">
        <v>1</v>
      </c>
      <c r="F47" s="17"/>
      <c r="G47" s="17"/>
      <c r="H47" s="17"/>
      <c r="I47" s="17"/>
      <c r="J47" s="16">
        <v>181</v>
      </c>
      <c r="K47" s="5" t="s">
        <v>58</v>
      </c>
      <c r="L47" s="6" t="s">
        <v>59</v>
      </c>
      <c r="M47" s="104"/>
      <c r="N47" s="6" t="s">
        <v>81</v>
      </c>
      <c r="O47" s="5" t="s">
        <v>715</v>
      </c>
      <c r="P47" s="6" t="s">
        <v>80</v>
      </c>
      <c r="Q47" s="7">
        <v>2029</v>
      </c>
      <c r="R47" s="8">
        <v>0.438</v>
      </c>
      <c r="S47" s="8">
        <v>0.27</v>
      </c>
      <c r="T47" s="9">
        <f t="shared" si="1"/>
        <v>0.70799999999999996</v>
      </c>
      <c r="U47" s="8">
        <v>0.05</v>
      </c>
      <c r="V47" s="8">
        <v>9.0000000000000011E-2</v>
      </c>
      <c r="W47" s="8">
        <v>6.8000000000000005E-2</v>
      </c>
      <c r="X47" s="10">
        <v>0.21384</v>
      </c>
      <c r="Y47" s="8">
        <v>0.29200000000000004</v>
      </c>
      <c r="Z47" s="11">
        <v>47483</v>
      </c>
      <c r="AA47" s="12"/>
      <c r="AB47" s="22">
        <f t="shared" si="2"/>
        <v>202246.8762222222</v>
      </c>
      <c r="AC47" s="22"/>
      <c r="AD47" s="4">
        <v>43.893403429627014</v>
      </c>
      <c r="AE47" s="14">
        <f t="shared" si="3"/>
        <v>0.24114314725708674</v>
      </c>
      <c r="AF47" s="13">
        <f t="shared" si="4"/>
        <v>44.494312768888889</v>
      </c>
      <c r="AG47" s="4">
        <v>220</v>
      </c>
      <c r="AH47" s="4">
        <v>439.66712222222219</v>
      </c>
      <c r="AI47" s="4">
        <v>460</v>
      </c>
      <c r="AJ47" s="4">
        <v>900</v>
      </c>
      <c r="AK47" s="4">
        <f>(AJ47*AI47*AH47)/10^6</f>
        <v>182.02218859999999</v>
      </c>
      <c r="AL47" s="4">
        <f t="shared" si="0"/>
        <v>79.725718606800001</v>
      </c>
      <c r="AM47" s="4">
        <v>395700</v>
      </c>
      <c r="AN47" s="20">
        <f t="shared" si="6"/>
        <v>96726.766888888887</v>
      </c>
      <c r="AO47" s="23">
        <f t="shared" si="7"/>
        <v>0.73</v>
      </c>
      <c r="AP47" s="24">
        <f t="shared" si="8"/>
        <v>1.5033333068541381</v>
      </c>
    </row>
    <row r="48" spans="1:42" x14ac:dyDescent="0.3">
      <c r="A48" t="s">
        <v>587</v>
      </c>
      <c r="B48" s="6" t="s">
        <v>301</v>
      </c>
      <c r="C48" s="15" t="s">
        <v>477</v>
      </c>
      <c r="D48" s="5" t="s">
        <v>550</v>
      </c>
      <c r="E48" s="19">
        <v>1</v>
      </c>
      <c r="F48" s="17"/>
      <c r="G48" s="17"/>
      <c r="H48" s="17"/>
      <c r="I48" s="17"/>
      <c r="J48" s="16">
        <v>182</v>
      </c>
      <c r="K48" s="5" t="s">
        <v>58</v>
      </c>
      <c r="L48" s="6" t="s">
        <v>59</v>
      </c>
      <c r="M48" s="104"/>
      <c r="N48" s="6" t="s">
        <v>82</v>
      </c>
      <c r="O48" s="5" t="s">
        <v>715</v>
      </c>
      <c r="P48" s="6" t="s">
        <v>80</v>
      </c>
      <c r="Q48" s="7">
        <v>2030</v>
      </c>
      <c r="R48" s="8">
        <v>0.442</v>
      </c>
      <c r="S48" s="8">
        <v>0.35</v>
      </c>
      <c r="T48" s="9">
        <f t="shared" si="1"/>
        <v>0.79200000000000004</v>
      </c>
      <c r="U48" s="8">
        <v>0.05</v>
      </c>
      <c r="V48" s="8">
        <v>7.0000000000000007E-2</v>
      </c>
      <c r="W48" s="8">
        <v>6.8000000000000005E-2</v>
      </c>
      <c r="X48" s="10">
        <v>0.28420000000000001</v>
      </c>
      <c r="Y48" s="8">
        <v>0.20799999999999996</v>
      </c>
      <c r="Z48" s="11">
        <v>47848</v>
      </c>
      <c r="AA48" s="12"/>
      <c r="AB48" s="22">
        <f t="shared" si="2"/>
        <v>178172.5</v>
      </c>
      <c r="AC48" s="22"/>
      <c r="AD48" s="4">
        <v>75.517291832168993</v>
      </c>
      <c r="AE48" s="14">
        <f t="shared" si="3"/>
        <v>0.33907496087070227</v>
      </c>
      <c r="AF48" s="13">
        <f t="shared" si="4"/>
        <v>46.324849999999998</v>
      </c>
      <c r="AG48" s="4">
        <v>260</v>
      </c>
      <c r="AH48" s="4">
        <v>350</v>
      </c>
      <c r="AI48" s="4">
        <v>509.06428571428569</v>
      </c>
      <c r="AJ48" s="4">
        <v>1250</v>
      </c>
      <c r="AK48" s="13">
        <f t="shared" si="5"/>
        <v>222.71562499999999</v>
      </c>
      <c r="AL48" s="13">
        <f t="shared" si="0"/>
        <v>98.440306249999992</v>
      </c>
      <c r="AM48" s="20">
        <v>437500</v>
      </c>
      <c r="AN48" s="20">
        <f t="shared" si="6"/>
        <v>91000</v>
      </c>
      <c r="AO48" s="23">
        <f t="shared" si="7"/>
        <v>0.64999999999999991</v>
      </c>
      <c r="AP48" s="24">
        <f t="shared" si="8"/>
        <v>1.1881369949110563</v>
      </c>
    </row>
    <row r="49" spans="1:42" x14ac:dyDescent="0.3">
      <c r="A49" t="s">
        <v>587</v>
      </c>
      <c r="B49" s="6" t="s">
        <v>302</v>
      </c>
      <c r="C49" s="15" t="s">
        <v>477</v>
      </c>
      <c r="D49" s="5" t="s">
        <v>550</v>
      </c>
      <c r="E49" s="19">
        <v>1</v>
      </c>
      <c r="F49" s="17"/>
      <c r="G49" s="17"/>
      <c r="H49" s="17"/>
      <c r="I49" s="17"/>
      <c r="J49" s="16">
        <v>183</v>
      </c>
      <c r="K49" s="5" t="s">
        <v>58</v>
      </c>
      <c r="L49" s="6" t="s">
        <v>59</v>
      </c>
      <c r="M49" s="104"/>
      <c r="N49" s="6" t="s">
        <v>83</v>
      </c>
      <c r="O49" s="5" t="s">
        <v>715</v>
      </c>
      <c r="P49" s="6" t="s">
        <v>80</v>
      </c>
      <c r="Q49" s="7">
        <v>2031</v>
      </c>
      <c r="R49" s="8">
        <v>0.442</v>
      </c>
      <c r="S49" s="8">
        <v>0.35</v>
      </c>
      <c r="T49" s="9">
        <f t="shared" si="1"/>
        <v>0.79200000000000004</v>
      </c>
      <c r="U49" s="8">
        <v>0.05</v>
      </c>
      <c r="V49" s="8">
        <v>7.0000000000000007E-2</v>
      </c>
      <c r="W49" s="8">
        <v>6.8000000000000005E-2</v>
      </c>
      <c r="X49" s="10">
        <v>0.28420000000000001</v>
      </c>
      <c r="Y49" s="8">
        <v>0.20799999999999996</v>
      </c>
      <c r="Z49" s="11">
        <v>48213</v>
      </c>
      <c r="AA49" s="12"/>
      <c r="AB49" s="22">
        <f t="shared" si="2"/>
        <v>178172.5</v>
      </c>
      <c r="AC49" s="22"/>
      <c r="AD49" s="4">
        <v>78.160397046294889</v>
      </c>
      <c r="AE49" s="14">
        <f t="shared" si="3"/>
        <v>0.35094258450117677</v>
      </c>
      <c r="AF49" s="13">
        <f t="shared" si="4"/>
        <v>46.324849999999998</v>
      </c>
      <c r="AG49" s="4">
        <v>260</v>
      </c>
      <c r="AH49" s="4">
        <v>350</v>
      </c>
      <c r="AI49" s="4">
        <v>509.06428571428569</v>
      </c>
      <c r="AJ49" s="4">
        <v>1250</v>
      </c>
      <c r="AK49" s="13">
        <f t="shared" si="5"/>
        <v>222.71562499999999</v>
      </c>
      <c r="AL49" s="13">
        <f t="shared" si="0"/>
        <v>98.440306249999992</v>
      </c>
      <c r="AM49" s="20">
        <v>437500</v>
      </c>
      <c r="AN49" s="20">
        <f t="shared" si="6"/>
        <v>91000</v>
      </c>
      <c r="AO49" s="23">
        <f t="shared" si="7"/>
        <v>0.64999999999999991</v>
      </c>
      <c r="AP49" s="24">
        <f t="shared" si="8"/>
        <v>1.1629101414416052</v>
      </c>
    </row>
    <row r="50" spans="1:42" x14ac:dyDescent="0.3">
      <c r="A50" t="s">
        <v>588</v>
      </c>
      <c r="B50" s="6" t="s">
        <v>303</v>
      </c>
      <c r="C50" s="15" t="s">
        <v>475</v>
      </c>
      <c r="D50" s="5" t="s">
        <v>550</v>
      </c>
      <c r="E50" s="19">
        <v>1</v>
      </c>
      <c r="F50" s="17"/>
      <c r="G50" s="17"/>
      <c r="H50" s="17"/>
      <c r="I50" s="17"/>
      <c r="J50" s="16">
        <v>184</v>
      </c>
      <c r="K50" s="5" t="s">
        <v>58</v>
      </c>
      <c r="L50" s="6" t="s">
        <v>59</v>
      </c>
      <c r="M50" s="104"/>
      <c r="N50" s="6" t="s">
        <v>84</v>
      </c>
      <c r="O50" s="5" t="s">
        <v>714</v>
      </c>
      <c r="P50" s="6" t="s">
        <v>27</v>
      </c>
      <c r="Q50" s="7">
        <v>2027</v>
      </c>
      <c r="R50" s="8">
        <v>0.6</v>
      </c>
      <c r="S50" s="8">
        <v>0</v>
      </c>
      <c r="T50" s="9">
        <f t="shared" si="1"/>
        <v>0.6</v>
      </c>
      <c r="U50" s="8"/>
      <c r="V50" s="8"/>
      <c r="W50" s="8"/>
      <c r="X50" s="10">
        <v>0</v>
      </c>
      <c r="Y50" s="8">
        <v>0.4</v>
      </c>
      <c r="Z50" s="11">
        <v>46660</v>
      </c>
      <c r="AA50" s="12"/>
      <c r="AB50" s="76">
        <v>188861.17</v>
      </c>
      <c r="AC50" s="76"/>
      <c r="AD50" s="4">
        <v>0</v>
      </c>
      <c r="AE50" s="14">
        <f t="shared" si="3"/>
        <v>0</v>
      </c>
      <c r="AF50" s="13">
        <f t="shared" si="4"/>
        <v>24.218623999999998</v>
      </c>
      <c r="AG50" s="4">
        <v>128</v>
      </c>
      <c r="AH50" s="75">
        <v>268</v>
      </c>
      <c r="AI50" s="75">
        <v>706</v>
      </c>
      <c r="AJ50" s="26">
        <v>500</v>
      </c>
      <c r="AK50" s="13">
        <f t="shared" si="5"/>
        <v>94.603999999999999</v>
      </c>
      <c r="AL50" s="13">
        <f t="shared" si="0"/>
        <v>56.7624</v>
      </c>
      <c r="AM50" s="27">
        <v>112650</v>
      </c>
      <c r="AN50" s="20">
        <f t="shared" si="6"/>
        <v>34304</v>
      </c>
      <c r="AO50" s="23">
        <f t="shared" si="7"/>
        <v>1</v>
      </c>
      <c r="AP50" s="24">
        <f t="shared" si="8"/>
        <v>3.9062500000000004</v>
      </c>
    </row>
    <row r="51" spans="1:42" x14ac:dyDescent="0.3">
      <c r="A51" t="s">
        <v>590</v>
      </c>
      <c r="B51" s="6" t="s">
        <v>556</v>
      </c>
      <c r="C51" s="15" t="s">
        <v>478</v>
      </c>
      <c r="D51" s="5" t="s">
        <v>550</v>
      </c>
      <c r="E51" s="19">
        <v>1</v>
      </c>
      <c r="F51" s="17"/>
      <c r="G51" s="17"/>
      <c r="H51" s="17"/>
      <c r="I51" s="17"/>
      <c r="J51" s="16">
        <v>185</v>
      </c>
      <c r="K51" s="5" t="s">
        <v>58</v>
      </c>
      <c r="L51" s="6" t="s">
        <v>59</v>
      </c>
      <c r="M51" s="104"/>
      <c r="N51" s="6" t="s">
        <v>85</v>
      </c>
      <c r="O51" s="5" t="s">
        <v>715</v>
      </c>
      <c r="P51" s="6" t="s">
        <v>27</v>
      </c>
      <c r="Q51" s="7">
        <v>2026</v>
      </c>
      <c r="R51" s="8">
        <v>0.69</v>
      </c>
      <c r="S51" s="8">
        <v>0</v>
      </c>
      <c r="T51" s="9">
        <f t="shared" si="1"/>
        <v>0.69</v>
      </c>
      <c r="U51" s="8"/>
      <c r="V51" s="8"/>
      <c r="W51" s="8"/>
      <c r="X51" s="10">
        <v>0</v>
      </c>
      <c r="Y51" s="8">
        <v>0.31000000000000005</v>
      </c>
      <c r="Z51" s="11">
        <v>46387</v>
      </c>
      <c r="AA51" s="12"/>
      <c r="AB51" s="28">
        <f>AH51*AI51</f>
        <v>327445</v>
      </c>
      <c r="AC51" s="28"/>
      <c r="AD51" s="4">
        <v>0</v>
      </c>
      <c r="AE51" s="14">
        <f t="shared" si="3"/>
        <v>0</v>
      </c>
      <c r="AF51" s="13">
        <f t="shared" si="4"/>
        <v>41.912959999999998</v>
      </c>
      <c r="AG51" s="4">
        <v>128</v>
      </c>
      <c r="AH51" s="26">
        <v>215</v>
      </c>
      <c r="AI51" s="26">
        <v>1523</v>
      </c>
      <c r="AJ51" s="26">
        <v>600</v>
      </c>
      <c r="AK51" s="13">
        <f t="shared" si="5"/>
        <v>196.46700000000001</v>
      </c>
      <c r="AL51" s="13">
        <f t="shared" si="0"/>
        <v>135.56223</v>
      </c>
      <c r="AM51" s="27">
        <v>128718</v>
      </c>
      <c r="AN51" s="20">
        <f t="shared" si="6"/>
        <v>27520</v>
      </c>
      <c r="AO51" s="23">
        <f t="shared" si="7"/>
        <v>1</v>
      </c>
      <c r="AP51" s="24">
        <f t="shared" si="8"/>
        <v>4.6875000000000009</v>
      </c>
    </row>
    <row r="52" spans="1:42" x14ac:dyDescent="0.3">
      <c r="A52" t="s">
        <v>684</v>
      </c>
      <c r="B52" s="6" t="s">
        <v>557</v>
      </c>
      <c r="C52" s="15" t="s">
        <v>479</v>
      </c>
      <c r="D52" s="5" t="s">
        <v>550</v>
      </c>
      <c r="E52" s="19">
        <v>1</v>
      </c>
      <c r="F52" s="17"/>
      <c r="G52" s="17"/>
      <c r="H52" s="17"/>
      <c r="I52" s="17"/>
      <c r="J52" s="16">
        <v>186</v>
      </c>
      <c r="K52" s="5" t="s">
        <v>58</v>
      </c>
      <c r="L52" s="6" t="s">
        <v>86</v>
      </c>
      <c r="M52" s="104"/>
      <c r="N52" s="6" t="s">
        <v>26</v>
      </c>
      <c r="O52" s="5" t="s">
        <v>717</v>
      </c>
      <c r="P52" s="6" t="s">
        <v>27</v>
      </c>
      <c r="Q52" s="7">
        <v>2035</v>
      </c>
      <c r="R52" s="8">
        <v>0.85719999999999996</v>
      </c>
      <c r="S52" s="8">
        <v>0</v>
      </c>
      <c r="T52" s="9">
        <f t="shared" si="1"/>
        <v>0.85719999999999996</v>
      </c>
      <c r="U52" s="8"/>
      <c r="V52" s="8"/>
      <c r="W52" s="8"/>
      <c r="X52" s="10">
        <v>0</v>
      </c>
      <c r="Y52" s="8">
        <v>0.14280000000000004</v>
      </c>
      <c r="Z52" s="11">
        <v>49674</v>
      </c>
      <c r="AA52" s="12"/>
      <c r="AB52" s="22">
        <f t="shared" si="2"/>
        <v>75499.999999900247</v>
      </c>
      <c r="AC52" s="22"/>
      <c r="AD52" s="4">
        <v>0</v>
      </c>
      <c r="AE52" s="14">
        <f t="shared" si="3"/>
        <v>0</v>
      </c>
      <c r="AF52" s="13">
        <f t="shared" si="4"/>
        <v>8.1539999999892263</v>
      </c>
      <c r="AG52" s="4">
        <v>108</v>
      </c>
      <c r="AH52" s="4">
        <v>209.72222222194512</v>
      </c>
      <c r="AI52" s="4">
        <v>360</v>
      </c>
      <c r="AJ52" s="26">
        <v>350</v>
      </c>
      <c r="AK52" s="13">
        <f t="shared" si="5"/>
        <v>26.424999999965088</v>
      </c>
      <c r="AL52" s="13">
        <f t="shared" si="0"/>
        <v>22.651509999970074</v>
      </c>
      <c r="AM52" s="27">
        <v>73500</v>
      </c>
      <c r="AN52" s="20">
        <f t="shared" si="6"/>
        <v>22649.999999970074</v>
      </c>
      <c r="AO52" s="23">
        <f t="shared" si="7"/>
        <v>1</v>
      </c>
      <c r="AP52" s="24">
        <f t="shared" si="8"/>
        <v>3.2407407407407409</v>
      </c>
    </row>
    <row r="53" spans="1:42" x14ac:dyDescent="0.3">
      <c r="A53" t="s">
        <v>589</v>
      </c>
      <c r="B53" s="6" t="s">
        <v>558</v>
      </c>
      <c r="C53" s="15" t="s">
        <v>479</v>
      </c>
      <c r="D53" s="5" t="s">
        <v>550</v>
      </c>
      <c r="E53" s="19">
        <v>1</v>
      </c>
      <c r="F53" s="17"/>
      <c r="G53" s="17"/>
      <c r="H53" s="17"/>
      <c r="I53" s="17"/>
      <c r="J53" s="16">
        <v>187</v>
      </c>
      <c r="K53" s="5" t="s">
        <v>58</v>
      </c>
      <c r="L53" s="6" t="s">
        <v>86</v>
      </c>
      <c r="M53" s="104"/>
      <c r="N53" s="6" t="s">
        <v>26</v>
      </c>
      <c r="O53" s="5" t="s">
        <v>715</v>
      </c>
      <c r="P53" s="6" t="s">
        <v>27</v>
      </c>
      <c r="Q53" s="7">
        <v>2035</v>
      </c>
      <c r="R53" s="8">
        <v>0.6</v>
      </c>
      <c r="S53" s="8">
        <v>0</v>
      </c>
      <c r="T53" s="9">
        <f t="shared" si="1"/>
        <v>0.6</v>
      </c>
      <c r="U53" s="8"/>
      <c r="V53" s="8"/>
      <c r="W53" s="8"/>
      <c r="X53" s="10">
        <v>0</v>
      </c>
      <c r="Y53" s="8">
        <v>0.4</v>
      </c>
      <c r="Z53" s="11">
        <v>49674</v>
      </c>
      <c r="AA53" s="12"/>
      <c r="AB53" s="22">
        <f t="shared" si="2"/>
        <v>79860</v>
      </c>
      <c r="AC53" s="22"/>
      <c r="AD53" s="4">
        <v>0</v>
      </c>
      <c r="AE53" s="14">
        <f t="shared" si="3"/>
        <v>0</v>
      </c>
      <c r="AF53" s="13">
        <f t="shared" si="4"/>
        <v>8.6248799999999992</v>
      </c>
      <c r="AG53" s="4">
        <v>108</v>
      </c>
      <c r="AH53" s="4">
        <v>210.15789473684211</v>
      </c>
      <c r="AI53" s="4">
        <v>380</v>
      </c>
      <c r="AJ53" s="26">
        <v>350</v>
      </c>
      <c r="AK53" s="13">
        <f t="shared" si="5"/>
        <v>27.951000000000001</v>
      </c>
      <c r="AL53" s="13">
        <f t="shared" si="0"/>
        <v>16.770599999999998</v>
      </c>
      <c r="AM53" s="27">
        <v>73500</v>
      </c>
      <c r="AN53" s="20">
        <f t="shared" si="6"/>
        <v>22697.052631578947</v>
      </c>
      <c r="AO53" s="23">
        <f t="shared" si="7"/>
        <v>1</v>
      </c>
      <c r="AP53" s="24">
        <f t="shared" si="8"/>
        <v>3.2407407407407409</v>
      </c>
    </row>
    <row r="54" spans="1:42" x14ac:dyDescent="0.3">
      <c r="A54" t="s">
        <v>591</v>
      </c>
      <c r="B54" s="6" t="s">
        <v>304</v>
      </c>
      <c r="C54" s="15" t="s">
        <v>479</v>
      </c>
      <c r="D54" s="5" t="s">
        <v>550</v>
      </c>
      <c r="E54" s="19">
        <v>1</v>
      </c>
      <c r="F54" s="17"/>
      <c r="G54" s="17"/>
      <c r="H54" s="17"/>
      <c r="I54" s="17"/>
      <c r="J54" s="16">
        <v>188</v>
      </c>
      <c r="K54" s="5" t="s">
        <v>58</v>
      </c>
      <c r="L54" s="6" t="s">
        <v>86</v>
      </c>
      <c r="M54" s="104"/>
      <c r="N54" s="6" t="s">
        <v>87</v>
      </c>
      <c r="O54" s="5" t="s">
        <v>715</v>
      </c>
      <c r="P54" s="6" t="s">
        <v>27</v>
      </c>
      <c r="Q54" s="7">
        <v>2026</v>
      </c>
      <c r="R54" s="8">
        <v>0.5323</v>
      </c>
      <c r="S54" s="8">
        <v>0</v>
      </c>
      <c r="T54" s="9">
        <f t="shared" si="1"/>
        <v>0.5323</v>
      </c>
      <c r="U54" s="8"/>
      <c r="V54" s="8"/>
      <c r="W54" s="8"/>
      <c r="X54" s="10">
        <v>0</v>
      </c>
      <c r="Y54" s="8">
        <v>0.4677</v>
      </c>
      <c r="Z54" s="11">
        <v>46387</v>
      </c>
      <c r="AA54" s="12"/>
      <c r="AB54" s="22">
        <f t="shared" si="2"/>
        <v>14607</v>
      </c>
      <c r="AC54" s="22"/>
      <c r="AD54" s="4">
        <v>0</v>
      </c>
      <c r="AE54" s="14">
        <f t="shared" si="3"/>
        <v>0</v>
      </c>
      <c r="AF54" s="13">
        <f t="shared" si="4"/>
        <v>1.16856</v>
      </c>
      <c r="AG54" s="4">
        <v>80</v>
      </c>
      <c r="AH54" s="4">
        <v>14607</v>
      </c>
      <c r="AI54" s="4">
        <v>1</v>
      </c>
      <c r="AJ54" s="4">
        <v>500</v>
      </c>
      <c r="AK54" s="13">
        <f t="shared" si="5"/>
        <v>7.3034999999999997</v>
      </c>
      <c r="AL54" s="13">
        <f t="shared" si="0"/>
        <v>3.8876530499999999</v>
      </c>
      <c r="AM54" s="20">
        <v>7303500</v>
      </c>
      <c r="AN54" s="20">
        <f t="shared" si="6"/>
        <v>1168560</v>
      </c>
      <c r="AO54" s="23">
        <f t="shared" si="7"/>
        <v>1</v>
      </c>
      <c r="AP54" s="24">
        <f t="shared" si="8"/>
        <v>6.2499999999999991</v>
      </c>
    </row>
    <row r="55" spans="1:42" x14ac:dyDescent="0.3">
      <c r="A55" t="s">
        <v>592</v>
      </c>
      <c r="B55" s="6" t="s">
        <v>305</v>
      </c>
      <c r="C55" s="15" t="s">
        <v>480</v>
      </c>
      <c r="D55" s="5" t="s">
        <v>550</v>
      </c>
      <c r="E55" s="19">
        <v>1</v>
      </c>
      <c r="F55" s="17"/>
      <c r="G55" s="17"/>
      <c r="H55" s="17"/>
      <c r="I55" s="17"/>
      <c r="J55" s="16">
        <v>189</v>
      </c>
      <c r="K55" s="5" t="s">
        <v>58</v>
      </c>
      <c r="L55" s="6" t="s">
        <v>88</v>
      </c>
      <c r="M55" s="104">
        <v>2080000</v>
      </c>
      <c r="N55" s="6" t="s">
        <v>89</v>
      </c>
      <c r="O55" s="5" t="s">
        <v>714</v>
      </c>
      <c r="P55" s="6" t="s">
        <v>27</v>
      </c>
      <c r="Q55" s="7">
        <v>2027</v>
      </c>
      <c r="R55" s="8">
        <v>0.71430000000000005</v>
      </c>
      <c r="S55" s="8">
        <v>0</v>
      </c>
      <c r="T55" s="9">
        <f t="shared" si="1"/>
        <v>0.71430000000000005</v>
      </c>
      <c r="U55" s="8"/>
      <c r="V55" s="8"/>
      <c r="W55" s="8"/>
      <c r="X55" s="10">
        <v>0</v>
      </c>
      <c r="Y55" s="8">
        <v>0.28569999999999995</v>
      </c>
      <c r="Z55" s="11">
        <v>46752</v>
      </c>
      <c r="AA55" s="12"/>
      <c r="AB55" s="76">
        <v>205841</v>
      </c>
      <c r="AC55" s="76"/>
      <c r="AD55" s="4">
        <v>0</v>
      </c>
      <c r="AE55" s="14">
        <f t="shared" si="3"/>
        <v>0</v>
      </c>
      <c r="AF55" s="13">
        <f t="shared" si="4"/>
        <v>22.240656000000001</v>
      </c>
      <c r="AG55" s="4">
        <v>108</v>
      </c>
      <c r="AH55" s="75">
        <v>262</v>
      </c>
      <c r="AI55" s="75">
        <v>786</v>
      </c>
      <c r="AJ55" s="26">
        <v>400</v>
      </c>
      <c r="AK55" s="13">
        <f t="shared" si="5"/>
        <v>82.372799999999998</v>
      </c>
      <c r="AL55" s="13">
        <f t="shared" si="0"/>
        <v>58.83889104</v>
      </c>
      <c r="AM55" s="27">
        <v>107120</v>
      </c>
      <c r="AN55" s="20">
        <f>AG55*AH55</f>
        <v>28296</v>
      </c>
      <c r="AO55" s="23">
        <f t="shared" si="7"/>
        <v>1</v>
      </c>
      <c r="AP55" s="24">
        <f t="shared" si="8"/>
        <v>3.7037037037037033</v>
      </c>
    </row>
    <row r="56" spans="1:42" x14ac:dyDescent="0.3">
      <c r="A56" t="s">
        <v>594</v>
      </c>
      <c r="B56" s="6" t="s">
        <v>306</v>
      </c>
      <c r="C56" s="15" t="s">
        <v>543</v>
      </c>
      <c r="D56" s="5" t="s">
        <v>550</v>
      </c>
      <c r="E56" s="19">
        <v>1</v>
      </c>
      <c r="F56" s="17"/>
      <c r="G56" s="17"/>
      <c r="H56" s="17"/>
      <c r="I56" s="17"/>
      <c r="J56" s="16">
        <v>190</v>
      </c>
      <c r="K56" s="5" t="s">
        <v>58</v>
      </c>
      <c r="L56" s="6" t="s">
        <v>90</v>
      </c>
      <c r="M56" s="104">
        <v>6000000</v>
      </c>
      <c r="N56" s="6" t="s">
        <v>91</v>
      </c>
      <c r="O56" s="5" t="s">
        <v>715</v>
      </c>
      <c r="P56" s="6" t="s">
        <v>27</v>
      </c>
      <c r="Q56" s="7">
        <v>2029</v>
      </c>
      <c r="R56" s="8">
        <v>0.64</v>
      </c>
      <c r="S56" s="8">
        <v>0.15999999999999992</v>
      </c>
      <c r="T56" s="9">
        <f t="shared" si="1"/>
        <v>0.79999999999999993</v>
      </c>
      <c r="U56" s="8">
        <v>0.05</v>
      </c>
      <c r="V56" s="8">
        <v>0.08</v>
      </c>
      <c r="W56" s="8">
        <v>6.8000000000000005E-2</v>
      </c>
      <c r="X56" s="10">
        <v>0.12831999999999993</v>
      </c>
      <c r="Y56" s="8">
        <v>0.20000000000000007</v>
      </c>
      <c r="Z56" s="11">
        <v>47208</v>
      </c>
      <c r="AA56" s="12"/>
      <c r="AB56" s="22">
        <f t="shared" si="2"/>
        <v>520000</v>
      </c>
      <c r="AC56" s="22"/>
      <c r="AD56" s="4">
        <v>38.45391209516719</v>
      </c>
      <c r="AE56" s="14">
        <f t="shared" si="3"/>
        <v>0.14791957415485621</v>
      </c>
      <c r="AF56" s="13">
        <f t="shared" si="4"/>
        <v>66.56</v>
      </c>
      <c r="AG56" s="4">
        <v>128</v>
      </c>
      <c r="AH56" s="4">
        <v>265.03567787971457</v>
      </c>
      <c r="AI56" s="4">
        <v>1962</v>
      </c>
      <c r="AJ56" s="4">
        <v>499.93269230769232</v>
      </c>
      <c r="AK56" s="13">
        <f t="shared" si="5"/>
        <v>259.96499999999997</v>
      </c>
      <c r="AL56" s="13">
        <f t="shared" si="0"/>
        <v>166.3776</v>
      </c>
      <c r="AM56" s="20">
        <v>132500</v>
      </c>
      <c r="AN56" s="20">
        <f t="shared" si="6"/>
        <v>33924.566768603465</v>
      </c>
      <c r="AO56" s="23">
        <f t="shared" si="7"/>
        <v>0.84000000000000008</v>
      </c>
      <c r="AP56" s="24">
        <f t="shared" si="8"/>
        <v>2.0794444816235882</v>
      </c>
    </row>
    <row r="57" spans="1:42" x14ac:dyDescent="0.3">
      <c r="A57" t="s">
        <v>594</v>
      </c>
      <c r="B57" s="6" t="s">
        <v>307</v>
      </c>
      <c r="C57" s="15" t="s">
        <v>543</v>
      </c>
      <c r="D57" s="5" t="s">
        <v>550</v>
      </c>
      <c r="E57" s="19">
        <v>1</v>
      </c>
      <c r="F57" s="17"/>
      <c r="G57" s="17"/>
      <c r="H57" s="17"/>
      <c r="I57" s="17"/>
      <c r="J57" s="16">
        <v>191</v>
      </c>
      <c r="K57" s="5" t="s">
        <v>58</v>
      </c>
      <c r="L57" s="6" t="s">
        <v>90</v>
      </c>
      <c r="M57" s="104">
        <v>6000000</v>
      </c>
      <c r="N57" s="6" t="s">
        <v>26</v>
      </c>
      <c r="O57" s="5" t="s">
        <v>714</v>
      </c>
      <c r="P57" s="6" t="s">
        <v>27</v>
      </c>
      <c r="Q57" s="7">
        <v>2027</v>
      </c>
      <c r="R57" s="8">
        <v>0.442</v>
      </c>
      <c r="S57" s="8">
        <v>0.35</v>
      </c>
      <c r="T57" s="9">
        <f t="shared" si="1"/>
        <v>0.79200000000000004</v>
      </c>
      <c r="U57" s="8">
        <v>0.05</v>
      </c>
      <c r="V57" s="8">
        <v>9.0000000000000011E-2</v>
      </c>
      <c r="W57" s="8">
        <v>6.8000000000000005E-2</v>
      </c>
      <c r="X57" s="10">
        <v>0.2772</v>
      </c>
      <c r="Y57" s="8">
        <v>0.20799999999999996</v>
      </c>
      <c r="Z57" s="11">
        <v>46568</v>
      </c>
      <c r="AA57" s="12"/>
      <c r="AB57" s="76">
        <v>149177</v>
      </c>
      <c r="AC57" s="76"/>
      <c r="AD57" s="4">
        <v>59.054166866907622</v>
      </c>
      <c r="AE57" s="14">
        <f t="shared" si="3"/>
        <v>0.72026411724057227</v>
      </c>
      <c r="AF57" s="13">
        <f t="shared" si="4"/>
        <v>19.081216000000001</v>
      </c>
      <c r="AG57" s="4">
        <v>128</v>
      </c>
      <c r="AH57" s="75">
        <v>242</v>
      </c>
      <c r="AI57" s="75">
        <v>616</v>
      </c>
      <c r="AJ57" s="26">
        <v>550</v>
      </c>
      <c r="AK57" s="13">
        <f t="shared" si="5"/>
        <v>81.989599999999996</v>
      </c>
      <c r="AL57" s="13">
        <f t="shared" si="0"/>
        <v>36.239403199999998</v>
      </c>
      <c r="AM57" s="27">
        <v>121000</v>
      </c>
      <c r="AN57" s="20">
        <f t="shared" si="6"/>
        <v>30976</v>
      </c>
      <c r="AO57" s="23">
        <f t="shared" si="7"/>
        <v>0.64999999999999991</v>
      </c>
      <c r="AP57" s="24">
        <f t="shared" si="8"/>
        <v>0.682062825375507</v>
      </c>
    </row>
    <row r="58" spans="1:42" x14ac:dyDescent="0.3">
      <c r="A58" t="s">
        <v>593</v>
      </c>
      <c r="B58" s="6" t="s">
        <v>308</v>
      </c>
      <c r="C58" s="15" t="s">
        <v>544</v>
      </c>
      <c r="D58" s="5" t="s">
        <v>550</v>
      </c>
      <c r="E58" s="19">
        <v>1</v>
      </c>
      <c r="F58" s="17"/>
      <c r="G58" s="17"/>
      <c r="H58" s="17"/>
      <c r="I58" s="17"/>
      <c r="J58" s="16">
        <v>192</v>
      </c>
      <c r="K58" s="5" t="s">
        <v>58</v>
      </c>
      <c r="L58" s="6" t="s">
        <v>92</v>
      </c>
      <c r="M58" s="104"/>
      <c r="N58" s="6" t="s">
        <v>93</v>
      </c>
      <c r="O58" s="5" t="s">
        <v>715</v>
      </c>
      <c r="P58" s="6" t="s">
        <v>27</v>
      </c>
      <c r="Q58" s="7">
        <v>2026</v>
      </c>
      <c r="R58" s="8">
        <v>0.6</v>
      </c>
      <c r="S58" s="8">
        <v>0.30000000000000004</v>
      </c>
      <c r="T58" s="9">
        <f t="shared" si="1"/>
        <v>0.9</v>
      </c>
      <c r="U58" s="8">
        <v>0.05</v>
      </c>
      <c r="V58" s="8">
        <v>9.5000000000000001E-2</v>
      </c>
      <c r="W58" s="8">
        <v>6.8000000000000005E-2</v>
      </c>
      <c r="X58" s="10">
        <v>0.23610000000000003</v>
      </c>
      <c r="Y58" s="8">
        <v>9.9999999999999978E-2</v>
      </c>
      <c r="Z58" s="11">
        <v>46203</v>
      </c>
      <c r="AA58" s="12"/>
      <c r="AB58" s="22">
        <f t="shared" si="2"/>
        <v>168948.74</v>
      </c>
      <c r="AC58" s="22"/>
      <c r="AD58" s="4">
        <v>26.902600595342161</v>
      </c>
      <c r="AE58" s="14">
        <f t="shared" si="3"/>
        <v>0.24497736000000001</v>
      </c>
      <c r="AF58" s="13">
        <f t="shared" si="4"/>
        <v>21.625438719999998</v>
      </c>
      <c r="AG58" s="4">
        <v>128</v>
      </c>
      <c r="AH58" s="4">
        <v>291.29093103448275</v>
      </c>
      <c r="AI58" s="4">
        <v>580</v>
      </c>
      <c r="AJ58" s="4">
        <v>650</v>
      </c>
      <c r="AK58" s="13">
        <f t="shared" si="5"/>
        <v>109.816681</v>
      </c>
      <c r="AL58" s="13">
        <f t="shared" si="0"/>
        <v>65.890008600000002</v>
      </c>
      <c r="AM58" s="20">
        <v>189339.10517241378</v>
      </c>
      <c r="AN58" s="20">
        <f t="shared" si="6"/>
        <v>37285.239172413792</v>
      </c>
      <c r="AO58" s="23">
        <f t="shared" si="7"/>
        <v>0.7</v>
      </c>
      <c r="AP58" s="24">
        <f t="shared" si="8"/>
        <v>1.584067227618178</v>
      </c>
    </row>
    <row r="59" spans="1:42" x14ac:dyDescent="0.3">
      <c r="A59" t="s">
        <v>595</v>
      </c>
      <c r="B59" s="6" t="s">
        <v>309</v>
      </c>
      <c r="C59" s="15" t="s">
        <v>544</v>
      </c>
      <c r="D59" s="5" t="s">
        <v>550</v>
      </c>
      <c r="E59" s="19">
        <v>1</v>
      </c>
      <c r="F59" s="17"/>
      <c r="G59" s="17"/>
      <c r="H59" s="17"/>
      <c r="I59" s="17"/>
      <c r="J59" s="16">
        <v>193</v>
      </c>
      <c r="K59" s="5" t="s">
        <v>58</v>
      </c>
      <c r="L59" s="6" t="s">
        <v>92</v>
      </c>
      <c r="M59" s="104"/>
      <c r="N59" s="6" t="s">
        <v>94</v>
      </c>
      <c r="O59" s="5" t="s">
        <v>716</v>
      </c>
      <c r="P59" s="6" t="s">
        <v>27</v>
      </c>
      <c r="Q59" s="7">
        <v>2029</v>
      </c>
      <c r="R59" s="8">
        <v>0.6</v>
      </c>
      <c r="S59" s="8">
        <v>0.30000000000000004</v>
      </c>
      <c r="T59" s="9">
        <f t="shared" si="1"/>
        <v>0.9</v>
      </c>
      <c r="U59" s="8">
        <v>0.05</v>
      </c>
      <c r="V59" s="8">
        <v>9.5000000000000001E-2</v>
      </c>
      <c r="W59" s="8">
        <v>6.8000000000000005E-2</v>
      </c>
      <c r="X59" s="10">
        <v>0.23610000000000003</v>
      </c>
      <c r="Y59" s="8">
        <v>9.9999999999999978E-2</v>
      </c>
      <c r="Z59" s="11">
        <v>47208</v>
      </c>
      <c r="AA59" s="12"/>
      <c r="AB59" s="22">
        <f t="shared" si="2"/>
        <v>375000</v>
      </c>
      <c r="AC59" s="22"/>
      <c r="AD59" s="4">
        <v>66.339456381531591</v>
      </c>
      <c r="AE59" s="14">
        <f t="shared" si="3"/>
        <v>0.32164584912257743</v>
      </c>
      <c r="AF59" s="13">
        <f t="shared" si="4"/>
        <v>48</v>
      </c>
      <c r="AG59" s="4">
        <v>128</v>
      </c>
      <c r="AH59" s="4">
        <v>250</v>
      </c>
      <c r="AI59" s="4">
        <v>1500</v>
      </c>
      <c r="AJ59" s="26">
        <v>550</v>
      </c>
      <c r="AK59" s="13">
        <f t="shared" si="5"/>
        <v>206.25</v>
      </c>
      <c r="AL59" s="13">
        <f t="shared" si="0"/>
        <v>123.75</v>
      </c>
      <c r="AM59" s="20">
        <v>137500</v>
      </c>
      <c r="AN59" s="20">
        <f t="shared" si="6"/>
        <v>32000</v>
      </c>
      <c r="AO59" s="23">
        <f t="shared" si="7"/>
        <v>0.7</v>
      </c>
      <c r="AP59" s="24">
        <f t="shared" si="8"/>
        <v>1.2626874796242238</v>
      </c>
    </row>
    <row r="60" spans="1:42" x14ac:dyDescent="0.3">
      <c r="A60" t="s">
        <v>596</v>
      </c>
      <c r="B60" s="6" t="s">
        <v>310</v>
      </c>
      <c r="C60" s="15" t="s">
        <v>545</v>
      </c>
      <c r="D60" s="5" t="s">
        <v>550</v>
      </c>
      <c r="E60" s="19">
        <v>1</v>
      </c>
      <c r="F60" s="17"/>
      <c r="G60" s="17"/>
      <c r="H60" s="17"/>
      <c r="I60" s="17"/>
      <c r="J60" s="16">
        <v>194</v>
      </c>
      <c r="K60" s="5" t="s">
        <v>95</v>
      </c>
      <c r="L60" s="6" t="s">
        <v>96</v>
      </c>
      <c r="M60" s="104"/>
      <c r="N60" s="6" t="s">
        <v>97</v>
      </c>
      <c r="O60" s="5" t="s">
        <v>715</v>
      </c>
      <c r="P60" s="6" t="s">
        <v>27</v>
      </c>
      <c r="Q60" s="7">
        <v>2027</v>
      </c>
      <c r="R60" s="8">
        <v>0.53039999999999998</v>
      </c>
      <c r="S60" s="8">
        <v>0.33699999999999997</v>
      </c>
      <c r="T60" s="9">
        <f t="shared" si="1"/>
        <v>0.86739999999999995</v>
      </c>
      <c r="U60" s="8">
        <v>0.05</v>
      </c>
      <c r="V60" s="8">
        <v>9.0000000000000011E-2</v>
      </c>
      <c r="W60" s="8">
        <v>6.8000000000000005E-2</v>
      </c>
      <c r="X60" s="10">
        <v>0.26690399999999997</v>
      </c>
      <c r="Y60" s="8">
        <v>0.13260000000000005</v>
      </c>
      <c r="Z60" s="11">
        <v>46568</v>
      </c>
      <c r="AA60" s="12"/>
      <c r="AB60" s="22">
        <f t="shared" si="2"/>
        <v>169253.49220000001</v>
      </c>
      <c r="AC60" s="22"/>
      <c r="AD60" s="4">
        <v>20.713877228580941</v>
      </c>
      <c r="AE60" s="14">
        <f t="shared" si="3"/>
        <v>0.28721404920383992</v>
      </c>
      <c r="AF60" s="13">
        <f t="shared" si="4"/>
        <v>20.310419064000001</v>
      </c>
      <c r="AG60" s="4">
        <v>120</v>
      </c>
      <c r="AH60" s="4">
        <v>187.64245254988916</v>
      </c>
      <c r="AI60" s="4">
        <v>902</v>
      </c>
      <c r="AJ60" s="4">
        <v>426.10642216338272</v>
      </c>
      <c r="AK60" s="13">
        <f t="shared" si="5"/>
        <v>72.120000000000019</v>
      </c>
      <c r="AL60" s="13">
        <f t="shared" si="0"/>
        <v>38.252448000000008</v>
      </c>
      <c r="AM60" s="20">
        <v>79955.654101995577</v>
      </c>
      <c r="AN60" s="20">
        <f t="shared" si="6"/>
        <v>22517.094305986699</v>
      </c>
      <c r="AO60" s="23">
        <f t="shared" si="7"/>
        <v>0.66300000000000003</v>
      </c>
      <c r="AP60" s="24">
        <f t="shared" si="8"/>
        <v>1.165542478997921</v>
      </c>
    </row>
    <row r="61" spans="1:42" x14ac:dyDescent="0.3">
      <c r="A61" t="s">
        <v>596</v>
      </c>
      <c r="B61" s="6" t="s">
        <v>311</v>
      </c>
      <c r="C61" s="15" t="s">
        <v>545</v>
      </c>
      <c r="D61" s="5" t="s">
        <v>550</v>
      </c>
      <c r="E61" s="19">
        <v>1</v>
      </c>
      <c r="F61" s="17"/>
      <c r="G61" s="17"/>
      <c r="H61" s="17"/>
      <c r="I61" s="17"/>
      <c r="J61" s="16">
        <v>195</v>
      </c>
      <c r="K61" s="5" t="s">
        <v>95</v>
      </c>
      <c r="L61" s="6" t="s">
        <v>96</v>
      </c>
      <c r="M61" s="104"/>
      <c r="N61" s="6" t="s">
        <v>98</v>
      </c>
      <c r="O61" s="5" t="s">
        <v>715</v>
      </c>
      <c r="P61" s="6" t="s">
        <v>27</v>
      </c>
      <c r="Q61" s="7">
        <v>2028</v>
      </c>
      <c r="R61" s="8">
        <v>0.53039999999999998</v>
      </c>
      <c r="S61" s="8">
        <v>0.33699999999999997</v>
      </c>
      <c r="T61" s="9">
        <f t="shared" si="1"/>
        <v>0.86739999999999995</v>
      </c>
      <c r="U61" s="8">
        <v>0.05</v>
      </c>
      <c r="V61" s="8">
        <v>9.0000000000000011E-2</v>
      </c>
      <c r="W61" s="8">
        <v>6.8000000000000005E-2</v>
      </c>
      <c r="X61" s="10">
        <v>0.26690399999999997</v>
      </c>
      <c r="Y61" s="8">
        <v>0.13260000000000005</v>
      </c>
      <c r="Z61" s="11">
        <v>46934</v>
      </c>
      <c r="AA61" s="12"/>
      <c r="AB61" s="22">
        <f t="shared" si="2"/>
        <v>169253.49220000001</v>
      </c>
      <c r="AC61" s="22"/>
      <c r="AD61" s="4">
        <v>21.438862931581276</v>
      </c>
      <c r="AE61" s="14">
        <f t="shared" si="3"/>
        <v>0.29726654092597438</v>
      </c>
      <c r="AF61" s="13">
        <f t="shared" si="4"/>
        <v>20.310419063999998</v>
      </c>
      <c r="AG61" s="4">
        <v>120</v>
      </c>
      <c r="AH61" s="4">
        <v>187.85071276359602</v>
      </c>
      <c r="AI61" s="4">
        <v>901</v>
      </c>
      <c r="AJ61" s="4">
        <v>426.10642216338277</v>
      </c>
      <c r="AK61" s="13">
        <f t="shared" si="5"/>
        <v>72.120000000000019</v>
      </c>
      <c r="AL61" s="13">
        <f t="shared" si="0"/>
        <v>38.252448000000008</v>
      </c>
      <c r="AM61" s="20">
        <v>80044.395116537198</v>
      </c>
      <c r="AN61" s="20">
        <f t="shared" si="6"/>
        <v>22542.085531631521</v>
      </c>
      <c r="AO61" s="23">
        <f t="shared" si="7"/>
        <v>0.66300000000000003</v>
      </c>
      <c r="AP61" s="24">
        <f t="shared" si="8"/>
        <v>1.1453025708336924</v>
      </c>
    </row>
    <row r="62" spans="1:42" x14ac:dyDescent="0.3">
      <c r="A62" t="s">
        <v>597</v>
      </c>
      <c r="B62" s="6" t="s">
        <v>312</v>
      </c>
      <c r="C62" s="15" t="s">
        <v>546</v>
      </c>
      <c r="D62" s="5" t="s">
        <v>550</v>
      </c>
      <c r="E62" s="19">
        <v>1</v>
      </c>
      <c r="F62" s="17"/>
      <c r="G62" s="17"/>
      <c r="H62" s="17"/>
      <c r="I62" s="17"/>
      <c r="J62" s="16">
        <v>196</v>
      </c>
      <c r="K62" s="5" t="s">
        <v>95</v>
      </c>
      <c r="L62" s="6" t="s">
        <v>99</v>
      </c>
      <c r="M62" s="104"/>
      <c r="N62" s="6" t="s">
        <v>100</v>
      </c>
      <c r="O62" s="5" t="s">
        <v>714</v>
      </c>
      <c r="P62" s="6" t="s">
        <v>80</v>
      </c>
      <c r="Q62" s="7">
        <v>2026</v>
      </c>
      <c r="R62" s="8">
        <v>0.50860000000000005</v>
      </c>
      <c r="S62" s="8">
        <v>0.36419999999999997</v>
      </c>
      <c r="T62" s="9">
        <f t="shared" si="1"/>
        <v>0.87280000000000002</v>
      </c>
      <c r="U62" s="8">
        <v>0.05</v>
      </c>
      <c r="V62" s="8">
        <v>9.0000000000000011E-2</v>
      </c>
      <c r="W62" s="8">
        <v>6.8000000000000005E-2</v>
      </c>
      <c r="X62" s="10">
        <v>0.28844639999999999</v>
      </c>
      <c r="Y62" s="8">
        <v>0.12719999999999998</v>
      </c>
      <c r="Z62" s="11">
        <v>46203</v>
      </c>
      <c r="AA62" s="12"/>
      <c r="AB62" s="22">
        <f t="shared" si="2"/>
        <v>164975.96</v>
      </c>
      <c r="AC62" s="22"/>
      <c r="AD62" s="4">
        <v>51.98103189227519</v>
      </c>
      <c r="AE62" s="14">
        <f t="shared" si="3"/>
        <v>0.33177604689273982</v>
      </c>
      <c r="AF62" s="13">
        <f t="shared" si="4"/>
        <v>42.8937496</v>
      </c>
      <c r="AG62" s="4">
        <v>260</v>
      </c>
      <c r="AH62" s="75">
        <v>246.97</v>
      </c>
      <c r="AI62" s="4">
        <v>668</v>
      </c>
      <c r="AJ62" s="4">
        <v>949.68418134440344</v>
      </c>
      <c r="AK62" s="13">
        <f t="shared" si="5"/>
        <v>156.67505951410706</v>
      </c>
      <c r="AL62" s="13">
        <f t="shared" si="0"/>
        <v>79.684935268874867</v>
      </c>
      <c r="AM62" s="20">
        <v>259999.99999999997</v>
      </c>
      <c r="AN62" s="20">
        <f t="shared" si="6"/>
        <v>64212.2</v>
      </c>
      <c r="AO62" s="23">
        <f t="shared" si="7"/>
        <v>0.63580000000000003</v>
      </c>
      <c r="AP62" s="24">
        <f t="shared" si="8"/>
        <v>1.0499523822058021</v>
      </c>
    </row>
    <row r="63" spans="1:42" x14ac:dyDescent="0.3">
      <c r="A63" t="s">
        <v>598</v>
      </c>
      <c r="B63" s="6" t="s">
        <v>313</v>
      </c>
      <c r="C63" s="15" t="s">
        <v>547</v>
      </c>
      <c r="D63" s="5" t="s">
        <v>550</v>
      </c>
      <c r="E63" s="19">
        <v>1</v>
      </c>
      <c r="F63" s="17"/>
      <c r="G63" s="17"/>
      <c r="H63" s="17"/>
      <c r="I63" s="17"/>
      <c r="J63" s="16">
        <v>197</v>
      </c>
      <c r="K63" s="5" t="s">
        <v>95</v>
      </c>
      <c r="L63" s="6" t="s">
        <v>101</v>
      </c>
      <c r="M63" s="104"/>
      <c r="N63" s="6" t="s">
        <v>51</v>
      </c>
      <c r="O63" s="5" t="s">
        <v>714</v>
      </c>
      <c r="P63" s="6" t="s">
        <v>27</v>
      </c>
      <c r="Q63" s="7">
        <v>2026</v>
      </c>
      <c r="R63" s="8">
        <v>0.8</v>
      </c>
      <c r="S63" s="8">
        <v>0</v>
      </c>
      <c r="T63" s="9">
        <f t="shared" si="1"/>
        <v>0.8</v>
      </c>
      <c r="U63" s="8"/>
      <c r="V63" s="8"/>
      <c r="W63" s="8"/>
      <c r="X63" s="10">
        <v>0</v>
      </c>
      <c r="Y63" s="8">
        <v>0.19999999999999996</v>
      </c>
      <c r="Z63" s="11">
        <v>46203</v>
      </c>
      <c r="AA63" s="12"/>
      <c r="AB63" s="22">
        <f t="shared" si="2"/>
        <v>247500</v>
      </c>
      <c r="AC63" s="22"/>
      <c r="AD63" s="4">
        <v>0</v>
      </c>
      <c r="AE63" s="14">
        <f t="shared" si="3"/>
        <v>0</v>
      </c>
      <c r="AF63" s="13">
        <f t="shared" si="4"/>
        <v>29.7</v>
      </c>
      <c r="AG63" s="4">
        <v>120</v>
      </c>
      <c r="AH63" s="75">
        <v>165</v>
      </c>
      <c r="AI63" s="4">
        <v>1500</v>
      </c>
      <c r="AJ63" s="4">
        <v>472.61904167062232</v>
      </c>
      <c r="AK63" s="13">
        <f t="shared" si="5"/>
        <v>116.97321281347902</v>
      </c>
      <c r="AL63" s="13">
        <f t="shared" si="0"/>
        <v>93.57857025078323</v>
      </c>
      <c r="AM63" s="20">
        <v>79872.618042335176</v>
      </c>
      <c r="AN63" s="20">
        <f t="shared" si="6"/>
        <v>19800</v>
      </c>
      <c r="AO63" s="23">
        <f t="shared" si="7"/>
        <v>1</v>
      </c>
      <c r="AP63" s="24">
        <f t="shared" si="8"/>
        <v>3.9384920139218527</v>
      </c>
    </row>
    <row r="64" spans="1:42" x14ac:dyDescent="0.3">
      <c r="A64" t="s">
        <v>598</v>
      </c>
      <c r="B64" s="6" t="s">
        <v>314</v>
      </c>
      <c r="C64" s="15" t="s">
        <v>547</v>
      </c>
      <c r="D64" s="5" t="s">
        <v>550</v>
      </c>
      <c r="E64" s="19">
        <v>1</v>
      </c>
      <c r="F64" s="17"/>
      <c r="G64" s="17"/>
      <c r="H64" s="17"/>
      <c r="I64" s="17"/>
      <c r="J64" s="16">
        <v>198</v>
      </c>
      <c r="K64" s="5" t="s">
        <v>95</v>
      </c>
      <c r="L64" s="6" t="s">
        <v>101</v>
      </c>
      <c r="M64" s="104"/>
      <c r="N64" s="6" t="s">
        <v>102</v>
      </c>
      <c r="O64" s="5" t="s">
        <v>714</v>
      </c>
      <c r="P64" s="6" t="s">
        <v>27</v>
      </c>
      <c r="Q64" s="7">
        <v>2027</v>
      </c>
      <c r="R64" s="8">
        <v>0.8</v>
      </c>
      <c r="S64" s="8">
        <v>0</v>
      </c>
      <c r="T64" s="9">
        <f t="shared" si="1"/>
        <v>0.8</v>
      </c>
      <c r="U64" s="8"/>
      <c r="V64" s="8"/>
      <c r="W64" s="8"/>
      <c r="X64" s="10">
        <v>0</v>
      </c>
      <c r="Y64" s="8">
        <v>0.19999999999999996</v>
      </c>
      <c r="Z64" s="11">
        <v>46477</v>
      </c>
      <c r="AA64" s="12"/>
      <c r="AB64" s="22">
        <f t="shared" si="2"/>
        <v>165000</v>
      </c>
      <c r="AC64" s="22"/>
      <c r="AD64" s="4">
        <v>0</v>
      </c>
      <c r="AE64" s="14">
        <f t="shared" si="3"/>
        <v>0</v>
      </c>
      <c r="AF64" s="13">
        <f t="shared" si="4"/>
        <v>19.8</v>
      </c>
      <c r="AG64" s="4">
        <v>120</v>
      </c>
      <c r="AH64" s="75">
        <v>165</v>
      </c>
      <c r="AI64" s="4">
        <v>1000</v>
      </c>
      <c r="AJ64" s="4">
        <v>472.61904167062232</v>
      </c>
      <c r="AK64" s="13">
        <f t="shared" si="5"/>
        <v>77.982141875652687</v>
      </c>
      <c r="AL64" s="13">
        <f t="shared" si="0"/>
        <v>62.385713500522151</v>
      </c>
      <c r="AM64" s="20">
        <v>79872.618042335176</v>
      </c>
      <c r="AN64" s="20">
        <f t="shared" si="6"/>
        <v>19800</v>
      </c>
      <c r="AO64" s="23">
        <f t="shared" si="7"/>
        <v>1</v>
      </c>
      <c r="AP64" s="24">
        <f t="shared" si="8"/>
        <v>3.9384920139218527</v>
      </c>
    </row>
    <row r="65" spans="1:42" x14ac:dyDescent="0.3">
      <c r="A65" t="s">
        <v>598</v>
      </c>
      <c r="B65" s="6" t="s">
        <v>315</v>
      </c>
      <c r="C65" s="15" t="s">
        <v>547</v>
      </c>
      <c r="D65" s="5" t="s">
        <v>550</v>
      </c>
      <c r="E65" s="19">
        <v>1</v>
      </c>
      <c r="F65" s="17"/>
      <c r="G65" s="17"/>
      <c r="H65" s="17"/>
      <c r="I65" s="17"/>
      <c r="J65" s="16">
        <v>199</v>
      </c>
      <c r="K65" s="5" t="s">
        <v>95</v>
      </c>
      <c r="L65" s="6" t="s">
        <v>101</v>
      </c>
      <c r="M65" s="104"/>
      <c r="N65" s="6" t="s">
        <v>103</v>
      </c>
      <c r="O65" s="5" t="s">
        <v>714</v>
      </c>
      <c r="P65" s="6" t="s">
        <v>27</v>
      </c>
      <c r="Q65" s="7">
        <v>2028</v>
      </c>
      <c r="R65" s="8">
        <v>0.8</v>
      </c>
      <c r="S65" s="8">
        <v>0</v>
      </c>
      <c r="T65" s="9">
        <f t="shared" si="1"/>
        <v>0.8</v>
      </c>
      <c r="U65" s="8"/>
      <c r="V65" s="8"/>
      <c r="W65" s="8"/>
      <c r="X65" s="10">
        <v>0</v>
      </c>
      <c r="Y65" s="8">
        <v>0.19999999999999996</v>
      </c>
      <c r="Z65" s="11">
        <v>46934</v>
      </c>
      <c r="AA65" s="12"/>
      <c r="AB65" s="22">
        <f t="shared" si="2"/>
        <v>114840</v>
      </c>
      <c r="AC65" s="22"/>
      <c r="AD65" s="4">
        <v>0</v>
      </c>
      <c r="AE65" s="14">
        <f t="shared" si="3"/>
        <v>0</v>
      </c>
      <c r="AF65" s="13">
        <f t="shared" si="4"/>
        <v>13.780799999999999</v>
      </c>
      <c r="AG65" s="4">
        <v>120</v>
      </c>
      <c r="AH65" s="75">
        <v>165</v>
      </c>
      <c r="AI65" s="4">
        <v>696</v>
      </c>
      <c r="AJ65" s="4">
        <v>472.61904167062232</v>
      </c>
      <c r="AK65" s="13">
        <f t="shared" si="5"/>
        <v>54.275570745454267</v>
      </c>
      <c r="AL65" s="13">
        <f t="shared" si="0"/>
        <v>43.420456596363415</v>
      </c>
      <c r="AM65" s="20">
        <v>79872.618042335176</v>
      </c>
      <c r="AN65" s="20">
        <f t="shared" si="6"/>
        <v>19800</v>
      </c>
      <c r="AO65" s="23">
        <f t="shared" si="7"/>
        <v>1</v>
      </c>
      <c r="AP65" s="24">
        <f t="shared" si="8"/>
        <v>3.9384920139218527</v>
      </c>
    </row>
    <row r="66" spans="1:42" x14ac:dyDescent="0.3">
      <c r="A66" t="s">
        <v>599</v>
      </c>
      <c r="B66" s="6" t="s">
        <v>316</v>
      </c>
      <c r="C66" s="15" t="s">
        <v>548</v>
      </c>
      <c r="D66" s="5" t="s">
        <v>550</v>
      </c>
      <c r="E66" s="19">
        <v>1</v>
      </c>
      <c r="F66" s="17"/>
      <c r="G66" s="17"/>
      <c r="H66" s="17"/>
      <c r="I66" s="17"/>
      <c r="J66" s="16">
        <v>200</v>
      </c>
      <c r="K66" s="5" t="s">
        <v>95</v>
      </c>
      <c r="L66" s="6" t="s">
        <v>104</v>
      </c>
      <c r="M66" s="104">
        <v>4000000</v>
      </c>
      <c r="N66" s="6" t="s">
        <v>89</v>
      </c>
      <c r="O66" s="5" t="s">
        <v>714</v>
      </c>
      <c r="P66" s="6" t="s">
        <v>27</v>
      </c>
      <c r="Q66" s="7">
        <v>2026</v>
      </c>
      <c r="R66" s="8">
        <v>0.8</v>
      </c>
      <c r="S66" s="8">
        <v>0</v>
      </c>
      <c r="T66" s="9">
        <f t="shared" si="1"/>
        <v>0.8</v>
      </c>
      <c r="U66" s="8"/>
      <c r="V66" s="8"/>
      <c r="W66" s="8"/>
      <c r="X66" s="10">
        <v>0</v>
      </c>
      <c r="Y66" s="8">
        <v>0.19999999999999996</v>
      </c>
      <c r="Z66" s="11">
        <v>46203</v>
      </c>
      <c r="AA66" s="12"/>
      <c r="AB66" s="22">
        <f t="shared" si="2"/>
        <v>117415.63999999998</v>
      </c>
      <c r="AC66" s="22"/>
      <c r="AD66" s="4">
        <v>0</v>
      </c>
      <c r="AE66" s="14">
        <f t="shared" si="3"/>
        <v>0</v>
      </c>
      <c r="AF66" s="13">
        <f t="shared" si="4"/>
        <v>14.089876799999999</v>
      </c>
      <c r="AG66" s="4">
        <v>120</v>
      </c>
      <c r="AH66" s="4">
        <v>207.81529203539822</v>
      </c>
      <c r="AI66" s="4">
        <v>565</v>
      </c>
      <c r="AJ66" s="4">
        <v>430</v>
      </c>
      <c r="AK66" s="13">
        <f t="shared" si="5"/>
        <v>50.488725199999998</v>
      </c>
      <c r="AL66" s="13">
        <f t="shared" ref="AL66:AL129" si="9">AK66*R66</f>
        <v>40.390980159999998</v>
      </c>
      <c r="AM66" s="20">
        <v>89360.575575221228</v>
      </c>
      <c r="AN66" s="20">
        <f t="shared" si="6"/>
        <v>24937.835044247786</v>
      </c>
      <c r="AO66" s="23">
        <f t="shared" si="7"/>
        <v>1</v>
      </c>
      <c r="AP66" s="24">
        <f t="shared" si="8"/>
        <v>3.5833333333333335</v>
      </c>
    </row>
    <row r="67" spans="1:42" x14ac:dyDescent="0.3">
      <c r="A67" t="s">
        <v>600</v>
      </c>
      <c r="B67" s="6" t="s">
        <v>317</v>
      </c>
      <c r="C67" s="15" t="s">
        <v>549</v>
      </c>
      <c r="D67" s="5" t="s">
        <v>550</v>
      </c>
      <c r="E67" s="19">
        <v>1</v>
      </c>
      <c r="F67" s="17"/>
      <c r="G67" s="17"/>
      <c r="H67" s="17"/>
      <c r="I67" s="17"/>
      <c r="J67" s="16">
        <v>201</v>
      </c>
      <c r="K67" s="5" t="s">
        <v>95</v>
      </c>
      <c r="L67" s="6" t="s">
        <v>105</v>
      </c>
      <c r="M67" s="61">
        <v>2000000</v>
      </c>
      <c r="N67" s="6" t="s">
        <v>106</v>
      </c>
      <c r="O67" s="5" t="s">
        <v>714</v>
      </c>
      <c r="P67" s="6" t="s">
        <v>27</v>
      </c>
      <c r="Q67" s="7">
        <v>2028</v>
      </c>
      <c r="R67" s="8">
        <v>0.8</v>
      </c>
      <c r="S67" s="8">
        <v>0</v>
      </c>
      <c r="T67" s="9">
        <f t="shared" ref="T67:T129" si="10">SUM(R67:S67)</f>
        <v>0.8</v>
      </c>
      <c r="U67" s="8"/>
      <c r="V67" s="8"/>
      <c r="W67" s="8"/>
      <c r="X67" s="10">
        <v>0</v>
      </c>
      <c r="Y67" s="8">
        <v>0.19999999999999996</v>
      </c>
      <c r="Z67" s="11">
        <v>46843</v>
      </c>
      <c r="AA67" s="12"/>
      <c r="AB67" s="22">
        <f t="shared" ref="AB67:AB129" si="11">AH67*AI67</f>
        <v>187500</v>
      </c>
      <c r="AC67" s="22"/>
      <c r="AD67" s="4">
        <v>0</v>
      </c>
      <c r="AE67" s="14">
        <f t="shared" ref="AE67:AE129" si="12">IF(AK67=0,0,AD67/AK67)</f>
        <v>0</v>
      </c>
      <c r="AF67" s="13">
        <f t="shared" ref="AF67:AF129" si="13">(AG67*AH67*AI67)/10^6</f>
        <v>22.5</v>
      </c>
      <c r="AG67" s="4">
        <v>120</v>
      </c>
      <c r="AH67" s="4">
        <v>180</v>
      </c>
      <c r="AI67" s="4">
        <v>1041.6666666666667</v>
      </c>
      <c r="AJ67" s="4">
        <v>460</v>
      </c>
      <c r="AK67" s="13">
        <f t="shared" ref="AK67:AK129" si="14">(AJ67*AI67*AH67)/10^6</f>
        <v>86.25</v>
      </c>
      <c r="AL67" s="13">
        <f t="shared" si="9"/>
        <v>69</v>
      </c>
      <c r="AM67" s="20">
        <v>82800</v>
      </c>
      <c r="AN67" s="20">
        <f t="shared" ref="AN67:AN129" si="15">AG67*AH67</f>
        <v>21600</v>
      </c>
      <c r="AO67" s="23">
        <f t="shared" ref="AO67:AO130" si="16">R67+Y67</f>
        <v>1</v>
      </c>
      <c r="AP67" s="24">
        <f t="shared" ref="AP67:AP130" si="17">AK67*AO67/(AF67+AD67)</f>
        <v>3.8333333333333335</v>
      </c>
    </row>
    <row r="68" spans="1:42" x14ac:dyDescent="0.3">
      <c r="A68" t="s">
        <v>601</v>
      </c>
      <c r="B68" s="6" t="s">
        <v>318</v>
      </c>
      <c r="C68" s="15" t="s">
        <v>542</v>
      </c>
      <c r="D68" s="5" t="s">
        <v>550</v>
      </c>
      <c r="E68" s="19">
        <v>1</v>
      </c>
      <c r="F68" s="17"/>
      <c r="G68" s="17"/>
      <c r="H68" s="17"/>
      <c r="I68" s="17"/>
      <c r="J68" s="16">
        <v>202</v>
      </c>
      <c r="K68" s="5" t="s">
        <v>95</v>
      </c>
      <c r="L68" s="6" t="s">
        <v>107</v>
      </c>
      <c r="M68" s="104">
        <v>4000000</v>
      </c>
      <c r="N68" s="6" t="s">
        <v>108</v>
      </c>
      <c r="O68" s="5" t="s">
        <v>715</v>
      </c>
      <c r="P68" s="6" t="s">
        <v>27</v>
      </c>
      <c r="Q68" s="7">
        <v>2027</v>
      </c>
      <c r="R68" s="8">
        <v>0.8</v>
      </c>
      <c r="S68" s="8">
        <v>0</v>
      </c>
      <c r="T68" s="9">
        <f t="shared" si="10"/>
        <v>0.8</v>
      </c>
      <c r="U68" s="8"/>
      <c r="V68" s="8"/>
      <c r="W68" s="8"/>
      <c r="X68" s="10">
        <v>0</v>
      </c>
      <c r="Y68" s="8">
        <v>0.19999999999999996</v>
      </c>
      <c r="Z68" s="11">
        <v>46568</v>
      </c>
      <c r="AA68" s="12"/>
      <c r="AB68" s="22">
        <f t="shared" si="11"/>
        <v>204159.05</v>
      </c>
      <c r="AC68" s="22"/>
      <c r="AD68" s="4">
        <v>0</v>
      </c>
      <c r="AE68" s="14">
        <f t="shared" si="12"/>
        <v>0</v>
      </c>
      <c r="AF68" s="13">
        <f t="shared" si="13"/>
        <v>24.499085999999998</v>
      </c>
      <c r="AG68" s="4">
        <v>120</v>
      </c>
      <c r="AH68" s="4">
        <v>216.27018008474576</v>
      </c>
      <c r="AI68" s="4">
        <v>944</v>
      </c>
      <c r="AJ68" s="4">
        <v>430</v>
      </c>
      <c r="AK68" s="13">
        <f t="shared" si="14"/>
        <v>87.788391500000003</v>
      </c>
      <c r="AL68" s="13">
        <f t="shared" si="9"/>
        <v>70.230713200000011</v>
      </c>
      <c r="AM68" s="20">
        <v>92996.177436440674</v>
      </c>
      <c r="AN68" s="20">
        <f t="shared" si="15"/>
        <v>25952.421610169491</v>
      </c>
      <c r="AO68" s="23">
        <f t="shared" si="16"/>
        <v>1</v>
      </c>
      <c r="AP68" s="24">
        <f t="shared" si="17"/>
        <v>3.5833333333333335</v>
      </c>
    </row>
    <row r="69" spans="1:42" x14ac:dyDescent="0.3">
      <c r="A69" t="s">
        <v>601</v>
      </c>
      <c r="B69" s="6" t="s">
        <v>318</v>
      </c>
      <c r="C69" s="15" t="s">
        <v>542</v>
      </c>
      <c r="D69" s="5" t="s">
        <v>550</v>
      </c>
      <c r="E69" s="19">
        <v>1</v>
      </c>
      <c r="F69" s="17"/>
      <c r="G69" s="17"/>
      <c r="H69" s="17"/>
      <c r="I69" s="17"/>
      <c r="J69" s="16">
        <v>203</v>
      </c>
      <c r="K69" s="5" t="s">
        <v>95</v>
      </c>
      <c r="L69" s="6" t="s">
        <v>107</v>
      </c>
      <c r="M69" s="104">
        <v>4000000</v>
      </c>
      <c r="N69" s="6" t="s">
        <v>108</v>
      </c>
      <c r="O69" s="5" t="s">
        <v>715</v>
      </c>
      <c r="P69" s="6" t="s">
        <v>27</v>
      </c>
      <c r="Q69" s="7">
        <v>2028</v>
      </c>
      <c r="R69" s="8">
        <v>0.8</v>
      </c>
      <c r="S69" s="8">
        <v>0</v>
      </c>
      <c r="T69" s="9">
        <f t="shared" si="10"/>
        <v>0.8</v>
      </c>
      <c r="U69" s="8"/>
      <c r="V69" s="8"/>
      <c r="W69" s="8"/>
      <c r="X69" s="10">
        <v>0</v>
      </c>
      <c r="Y69" s="8">
        <v>0.19999999999999996</v>
      </c>
      <c r="Z69" s="11">
        <v>46934</v>
      </c>
      <c r="AA69" s="12"/>
      <c r="AB69" s="22">
        <f t="shared" si="11"/>
        <v>204159.05</v>
      </c>
      <c r="AC69" s="22"/>
      <c r="AD69" s="4">
        <v>0</v>
      </c>
      <c r="AE69" s="14">
        <f t="shared" si="12"/>
        <v>0</v>
      </c>
      <c r="AF69" s="13">
        <f t="shared" si="13"/>
        <v>24.499085999999995</v>
      </c>
      <c r="AG69" s="4">
        <v>120</v>
      </c>
      <c r="AH69" s="4">
        <v>216.4995227995758</v>
      </c>
      <c r="AI69" s="4">
        <v>943</v>
      </c>
      <c r="AJ69" s="4">
        <v>430</v>
      </c>
      <c r="AK69" s="13">
        <f t="shared" si="14"/>
        <v>87.788391499999989</v>
      </c>
      <c r="AL69" s="13">
        <f t="shared" si="9"/>
        <v>70.230713199999997</v>
      </c>
      <c r="AM69" s="20">
        <v>93094.794803817596</v>
      </c>
      <c r="AN69" s="20">
        <f t="shared" si="15"/>
        <v>25979.942735949095</v>
      </c>
      <c r="AO69" s="23">
        <f t="shared" si="16"/>
        <v>1</v>
      </c>
      <c r="AP69" s="24">
        <f t="shared" si="17"/>
        <v>3.5833333333333335</v>
      </c>
    </row>
    <row r="70" spans="1:42" x14ac:dyDescent="0.3">
      <c r="A70" t="s">
        <v>602</v>
      </c>
      <c r="B70" s="6" t="s">
        <v>319</v>
      </c>
      <c r="C70" s="15" t="s">
        <v>541</v>
      </c>
      <c r="D70" s="5" t="s">
        <v>550</v>
      </c>
      <c r="E70" s="19">
        <v>1</v>
      </c>
      <c r="F70" s="17"/>
      <c r="G70" s="17"/>
      <c r="H70" s="17"/>
      <c r="I70" s="17"/>
      <c r="J70" s="16">
        <v>204</v>
      </c>
      <c r="K70" s="5" t="s">
        <v>109</v>
      </c>
      <c r="L70" s="6" t="s">
        <v>110</v>
      </c>
      <c r="M70" s="104">
        <v>750000</v>
      </c>
      <c r="N70" s="6" t="s">
        <v>111</v>
      </c>
      <c r="O70" s="5" t="s">
        <v>714</v>
      </c>
      <c r="P70" s="6" t="s">
        <v>27</v>
      </c>
      <c r="Q70" s="7">
        <v>2026</v>
      </c>
      <c r="R70" s="8">
        <v>0.72499999999999998</v>
      </c>
      <c r="S70" s="8">
        <v>0.27500000000000002</v>
      </c>
      <c r="T70" s="9">
        <f t="shared" si="10"/>
        <v>1</v>
      </c>
      <c r="U70" s="8">
        <v>0.05</v>
      </c>
      <c r="V70" s="8">
        <v>0</v>
      </c>
      <c r="W70" s="8">
        <v>6.8000000000000005E-2</v>
      </c>
      <c r="X70" s="10">
        <v>0.24255000000000002</v>
      </c>
      <c r="Y70" s="8">
        <v>0</v>
      </c>
      <c r="Z70" s="11">
        <v>46295</v>
      </c>
      <c r="AA70" s="12"/>
      <c r="AB70" s="76">
        <v>187916</v>
      </c>
      <c r="AC70" s="76"/>
      <c r="AD70" s="4">
        <v>26.011115957867045</v>
      </c>
      <c r="AE70" s="14">
        <f t="shared" si="12"/>
        <v>0.2304993669104223</v>
      </c>
      <c r="AF70" s="13">
        <f t="shared" si="13"/>
        <v>22.56936</v>
      </c>
      <c r="AG70" s="4">
        <v>120</v>
      </c>
      <c r="AH70" s="75">
        <v>206</v>
      </c>
      <c r="AI70" s="4">
        <v>913</v>
      </c>
      <c r="AJ70" s="26">
        <v>600</v>
      </c>
      <c r="AK70" s="13">
        <f t="shared" si="14"/>
        <v>112.8468</v>
      </c>
      <c r="AL70" s="13">
        <f t="shared" si="9"/>
        <v>81.813929999999999</v>
      </c>
      <c r="AM70" s="27">
        <v>108000</v>
      </c>
      <c r="AN70" s="20">
        <f t="shared" si="15"/>
        <v>24720</v>
      </c>
      <c r="AO70" s="23">
        <f t="shared" si="16"/>
        <v>0.72499999999999998</v>
      </c>
      <c r="AP70" s="24">
        <f t="shared" si="17"/>
        <v>1.6840907460634127</v>
      </c>
    </row>
    <row r="71" spans="1:42" x14ac:dyDescent="0.3">
      <c r="A71" t="s">
        <v>603</v>
      </c>
      <c r="B71" s="6" t="s">
        <v>320</v>
      </c>
      <c r="C71" s="15" t="s">
        <v>540</v>
      </c>
      <c r="D71" s="5" t="s">
        <v>550</v>
      </c>
      <c r="E71" s="19">
        <v>1</v>
      </c>
      <c r="F71" s="17"/>
      <c r="G71" s="17"/>
      <c r="H71" s="17"/>
      <c r="I71" s="17"/>
      <c r="J71" s="16">
        <v>205</v>
      </c>
      <c r="K71" s="5" t="s">
        <v>109</v>
      </c>
      <c r="L71" s="6" t="s">
        <v>112</v>
      </c>
      <c r="M71" s="104">
        <v>750000</v>
      </c>
      <c r="N71" s="6" t="s">
        <v>111</v>
      </c>
      <c r="O71" s="5" t="s">
        <v>714</v>
      </c>
      <c r="P71" s="6" t="s">
        <v>27</v>
      </c>
      <c r="Q71" s="7">
        <v>2026</v>
      </c>
      <c r="R71" s="8">
        <v>0.8</v>
      </c>
      <c r="S71" s="8">
        <v>0.19999999999999996</v>
      </c>
      <c r="T71" s="9">
        <f t="shared" si="10"/>
        <v>1</v>
      </c>
      <c r="U71" s="8">
        <v>0.05</v>
      </c>
      <c r="V71" s="8">
        <v>0</v>
      </c>
      <c r="W71" s="8">
        <v>6.8000000000000005E-2</v>
      </c>
      <c r="X71" s="10">
        <v>0.17639999999999995</v>
      </c>
      <c r="Y71" s="8">
        <v>0</v>
      </c>
      <c r="Z71" s="11">
        <v>46295</v>
      </c>
      <c r="AA71" s="12"/>
      <c r="AB71" s="76">
        <v>186731</v>
      </c>
      <c r="AC71" s="76"/>
      <c r="AD71" s="4">
        <v>18.797890262381998</v>
      </c>
      <c r="AE71" s="14">
        <f t="shared" si="12"/>
        <v>0.20171141581232294</v>
      </c>
      <c r="AF71" s="13">
        <f t="shared" si="13"/>
        <v>24.789072000000001</v>
      </c>
      <c r="AG71" s="4">
        <v>133</v>
      </c>
      <c r="AH71" s="75">
        <v>176</v>
      </c>
      <c r="AI71" s="4">
        <v>1059</v>
      </c>
      <c r="AJ71" s="26">
        <v>500</v>
      </c>
      <c r="AK71" s="13">
        <f t="shared" si="14"/>
        <v>93.191999999999993</v>
      </c>
      <c r="AL71" s="13">
        <f t="shared" si="9"/>
        <v>74.553600000000003</v>
      </c>
      <c r="AM71" s="27">
        <v>45000</v>
      </c>
      <c r="AN71" s="20">
        <f t="shared" si="15"/>
        <v>23408</v>
      </c>
      <c r="AO71" s="23">
        <f t="shared" si="16"/>
        <v>0.8</v>
      </c>
      <c r="AP71" s="24">
        <f t="shared" si="17"/>
        <v>1.7104564330775569</v>
      </c>
    </row>
    <row r="72" spans="1:42" x14ac:dyDescent="0.3">
      <c r="A72" t="s">
        <v>603</v>
      </c>
      <c r="B72" s="6" t="s">
        <v>321</v>
      </c>
      <c r="C72" s="15" t="s">
        <v>540</v>
      </c>
      <c r="D72" s="5" t="s">
        <v>550</v>
      </c>
      <c r="E72" s="19">
        <v>1</v>
      </c>
      <c r="F72" s="17"/>
      <c r="G72" s="17"/>
      <c r="H72" s="17"/>
      <c r="I72" s="17"/>
      <c r="J72" s="16">
        <v>206</v>
      </c>
      <c r="K72" s="5" t="s">
        <v>109</v>
      </c>
      <c r="L72" s="6" t="s">
        <v>112</v>
      </c>
      <c r="M72" s="104">
        <v>750000</v>
      </c>
      <c r="N72" s="6" t="s">
        <v>113</v>
      </c>
      <c r="O72" s="5" t="s">
        <v>714</v>
      </c>
      <c r="P72" s="6" t="s">
        <v>27</v>
      </c>
      <c r="Q72" s="7">
        <v>2028</v>
      </c>
      <c r="R72" s="8">
        <v>0.8</v>
      </c>
      <c r="S72" s="8">
        <v>0.19999999999999996</v>
      </c>
      <c r="T72" s="9">
        <f t="shared" si="10"/>
        <v>1</v>
      </c>
      <c r="U72" s="8">
        <v>0.05</v>
      </c>
      <c r="V72" s="8">
        <v>0</v>
      </c>
      <c r="W72" s="8">
        <v>6.8000000000000005E-2</v>
      </c>
      <c r="X72" s="10">
        <v>0.17639999999999995</v>
      </c>
      <c r="Y72" s="8">
        <v>0</v>
      </c>
      <c r="Z72" s="11">
        <v>47026</v>
      </c>
      <c r="AA72" s="12"/>
      <c r="AB72" s="76">
        <v>186731</v>
      </c>
      <c r="AC72" s="76"/>
      <c r="AD72" s="4">
        <v>20.17762721080544</v>
      </c>
      <c r="AE72" s="14">
        <f t="shared" si="12"/>
        <v>0.21651673116582368</v>
      </c>
      <c r="AF72" s="13">
        <f t="shared" si="13"/>
        <v>24.789072000000001</v>
      </c>
      <c r="AG72" s="4">
        <v>133</v>
      </c>
      <c r="AH72" s="75">
        <v>176</v>
      </c>
      <c r="AI72" s="4">
        <v>1059</v>
      </c>
      <c r="AJ72" s="26">
        <v>500</v>
      </c>
      <c r="AK72" s="13">
        <f t="shared" si="14"/>
        <v>93.191999999999993</v>
      </c>
      <c r="AL72" s="13">
        <f t="shared" si="9"/>
        <v>74.553600000000003</v>
      </c>
      <c r="AM72" s="27">
        <v>45000</v>
      </c>
      <c r="AN72" s="20">
        <f t="shared" si="15"/>
        <v>23408</v>
      </c>
      <c r="AO72" s="23">
        <f t="shared" si="16"/>
        <v>0.8</v>
      </c>
      <c r="AP72" s="24">
        <f t="shared" si="17"/>
        <v>1.6579735962048303</v>
      </c>
    </row>
    <row r="73" spans="1:42" x14ac:dyDescent="0.3">
      <c r="A73" t="s">
        <v>604</v>
      </c>
      <c r="B73" s="6" t="s">
        <v>322</v>
      </c>
      <c r="C73" s="15" t="s">
        <v>539</v>
      </c>
      <c r="D73" s="5" t="s">
        <v>550</v>
      </c>
      <c r="E73" s="19">
        <v>1</v>
      </c>
      <c r="F73" s="17"/>
      <c r="G73" s="17"/>
      <c r="H73" s="17"/>
      <c r="I73" s="17"/>
      <c r="J73" s="16">
        <v>207</v>
      </c>
      <c r="K73" s="5" t="s">
        <v>109</v>
      </c>
      <c r="L73" s="6" t="s">
        <v>114</v>
      </c>
      <c r="M73" s="104"/>
      <c r="N73" s="6" t="s">
        <v>115</v>
      </c>
      <c r="O73" s="5" t="s">
        <v>714</v>
      </c>
      <c r="P73" s="6" t="s">
        <v>27</v>
      </c>
      <c r="Q73" s="7">
        <v>2028</v>
      </c>
      <c r="R73" s="8">
        <v>0.79</v>
      </c>
      <c r="S73" s="8">
        <v>0.20999999999999996</v>
      </c>
      <c r="T73" s="9">
        <f t="shared" si="10"/>
        <v>1</v>
      </c>
      <c r="U73" s="8">
        <v>0.05</v>
      </c>
      <c r="V73" s="8">
        <v>0</v>
      </c>
      <c r="W73" s="8">
        <v>6.8000000000000005E-2</v>
      </c>
      <c r="X73" s="10">
        <v>0.18521999999999997</v>
      </c>
      <c r="Y73" s="8">
        <v>0</v>
      </c>
      <c r="Z73" s="11">
        <v>46842</v>
      </c>
      <c r="AA73" s="12"/>
      <c r="AB73" s="76">
        <v>201305</v>
      </c>
      <c r="AC73" s="76"/>
      <c r="AD73" s="4">
        <v>8.4661542931956042</v>
      </c>
      <c r="AE73" s="14">
        <f t="shared" si="12"/>
        <v>8.7405949909597561E-2</v>
      </c>
      <c r="AF73" s="13">
        <f t="shared" si="13"/>
        <v>21.793536</v>
      </c>
      <c r="AG73" s="4">
        <v>108</v>
      </c>
      <c r="AH73" s="75">
        <v>192</v>
      </c>
      <c r="AI73" s="4">
        <v>1051</v>
      </c>
      <c r="AJ73" s="26">
        <v>480</v>
      </c>
      <c r="AK73" s="13">
        <f t="shared" si="14"/>
        <v>96.860159999999993</v>
      </c>
      <c r="AL73" s="13">
        <f t="shared" si="9"/>
        <v>76.519526400000004</v>
      </c>
      <c r="AM73" s="27">
        <v>43200</v>
      </c>
      <c r="AN73" s="20">
        <f t="shared" si="15"/>
        <v>20736</v>
      </c>
      <c r="AO73" s="23">
        <f t="shared" si="16"/>
        <v>0.79</v>
      </c>
      <c r="AP73" s="24">
        <f t="shared" si="17"/>
        <v>2.5287610566591523</v>
      </c>
    </row>
    <row r="74" spans="1:42" x14ac:dyDescent="0.3">
      <c r="A74" t="s">
        <v>604</v>
      </c>
      <c r="B74" s="6" t="s">
        <v>323</v>
      </c>
      <c r="C74" s="15" t="s">
        <v>539</v>
      </c>
      <c r="D74" s="5" t="s">
        <v>550</v>
      </c>
      <c r="E74" s="19">
        <v>1</v>
      </c>
      <c r="F74" s="17"/>
      <c r="G74" s="17"/>
      <c r="H74" s="17"/>
      <c r="I74" s="17"/>
      <c r="J74" s="16">
        <v>208</v>
      </c>
      <c r="K74" s="5" t="s">
        <v>109</v>
      </c>
      <c r="L74" s="6" t="s">
        <v>114</v>
      </c>
      <c r="M74" s="104"/>
      <c r="N74" s="6" t="s">
        <v>116</v>
      </c>
      <c r="O74" s="5" t="s">
        <v>714</v>
      </c>
      <c r="P74" s="6" t="s">
        <v>27</v>
      </c>
      <c r="Q74" s="7">
        <v>2030</v>
      </c>
      <c r="R74" s="8">
        <v>0.79</v>
      </c>
      <c r="S74" s="8">
        <v>0.20999999999999996</v>
      </c>
      <c r="T74" s="9">
        <f t="shared" si="10"/>
        <v>1</v>
      </c>
      <c r="U74" s="8">
        <v>0.05</v>
      </c>
      <c r="V74" s="8">
        <v>0</v>
      </c>
      <c r="W74" s="8">
        <v>6.8000000000000005E-2</v>
      </c>
      <c r="X74" s="10">
        <v>0.18521999999999997</v>
      </c>
      <c r="Y74" s="8">
        <v>0</v>
      </c>
      <c r="Z74" s="11">
        <v>47572</v>
      </c>
      <c r="AA74" s="12"/>
      <c r="AB74" s="76">
        <v>201305</v>
      </c>
      <c r="AC74" s="76"/>
      <c r="AD74" s="4">
        <v>9.0691561327284607</v>
      </c>
      <c r="AE74" s="14">
        <f t="shared" si="12"/>
        <v>9.3631438691908639E-2</v>
      </c>
      <c r="AF74" s="13">
        <f t="shared" si="13"/>
        <v>21.793536</v>
      </c>
      <c r="AG74" s="4">
        <v>108</v>
      </c>
      <c r="AH74" s="75">
        <v>192</v>
      </c>
      <c r="AI74" s="4">
        <v>1051</v>
      </c>
      <c r="AJ74" s="26">
        <v>480</v>
      </c>
      <c r="AK74" s="13">
        <f t="shared" si="14"/>
        <v>96.860159999999993</v>
      </c>
      <c r="AL74" s="13">
        <f t="shared" si="9"/>
        <v>76.519526400000004</v>
      </c>
      <c r="AM74" s="27">
        <v>43200</v>
      </c>
      <c r="AN74" s="20">
        <f t="shared" si="15"/>
        <v>20736</v>
      </c>
      <c r="AO74" s="23">
        <f t="shared" si="16"/>
        <v>0.79</v>
      </c>
      <c r="AP74" s="24">
        <f t="shared" si="17"/>
        <v>2.4793535855822042</v>
      </c>
    </row>
    <row r="75" spans="1:42" x14ac:dyDescent="0.3">
      <c r="A75" t="s">
        <v>605</v>
      </c>
      <c r="B75" s="6" t="s">
        <v>324</v>
      </c>
      <c r="C75" s="15" t="s">
        <v>538</v>
      </c>
      <c r="D75" s="5" t="s">
        <v>550</v>
      </c>
      <c r="E75" s="19">
        <v>1</v>
      </c>
      <c r="F75" s="17" t="s">
        <v>701</v>
      </c>
      <c r="G75" s="17"/>
      <c r="H75" s="17"/>
      <c r="I75" s="17"/>
      <c r="J75" s="16">
        <v>209</v>
      </c>
      <c r="K75" s="5" t="s">
        <v>109</v>
      </c>
      <c r="L75" s="6" t="s">
        <v>117</v>
      </c>
      <c r="M75" s="104"/>
      <c r="N75" s="6" t="s">
        <v>699</v>
      </c>
      <c r="O75" s="5" t="s">
        <v>714</v>
      </c>
      <c r="P75" s="6" t="s">
        <v>27</v>
      </c>
      <c r="Q75" s="7">
        <v>2026</v>
      </c>
      <c r="R75" s="8">
        <v>0.8</v>
      </c>
      <c r="S75" s="8">
        <v>0.19999999999999996</v>
      </c>
      <c r="T75" s="9">
        <f t="shared" si="10"/>
        <v>1</v>
      </c>
      <c r="U75" s="8">
        <v>0.05</v>
      </c>
      <c r="V75" s="8">
        <v>0</v>
      </c>
      <c r="W75" s="8">
        <v>6.8000000000000005E-2</v>
      </c>
      <c r="X75" s="10">
        <v>0.17639999999999995</v>
      </c>
      <c r="Y75" s="8">
        <v>0</v>
      </c>
      <c r="Z75" s="11">
        <v>46387</v>
      </c>
      <c r="AA75" s="12"/>
      <c r="AB75" s="22">
        <f t="shared" si="11"/>
        <v>306340</v>
      </c>
      <c r="AC75" s="22"/>
      <c r="AD75" s="4">
        <v>28.059753441031191</v>
      </c>
      <c r="AE75" s="14">
        <f t="shared" si="12"/>
        <v>0.1831935329439916</v>
      </c>
      <c r="AF75" s="13">
        <f t="shared" si="13"/>
        <v>36.760800000000003</v>
      </c>
      <c r="AG75" s="4">
        <v>120</v>
      </c>
      <c r="AH75" s="4">
        <v>265</v>
      </c>
      <c r="AI75" s="4">
        <v>1156</v>
      </c>
      <c r="AJ75" s="4">
        <v>500</v>
      </c>
      <c r="AK75" s="13">
        <f t="shared" si="14"/>
        <v>153.16999999999999</v>
      </c>
      <c r="AL75" s="13">
        <f t="shared" si="9"/>
        <v>122.536</v>
      </c>
      <c r="AM75" s="20">
        <v>132616.47275086504</v>
      </c>
      <c r="AN75" s="20">
        <f t="shared" si="15"/>
        <v>31800</v>
      </c>
      <c r="AO75" s="23">
        <f t="shared" si="16"/>
        <v>0.8</v>
      </c>
      <c r="AP75" s="24">
        <f t="shared" si="17"/>
        <v>1.890388055872956</v>
      </c>
    </row>
    <row r="76" spans="1:42" x14ac:dyDescent="0.3">
      <c r="A76" t="s">
        <v>605</v>
      </c>
      <c r="B76" s="6" t="s">
        <v>698</v>
      </c>
      <c r="C76" s="15" t="s">
        <v>538</v>
      </c>
      <c r="D76" s="5" t="s">
        <v>550</v>
      </c>
      <c r="E76" s="19">
        <v>1</v>
      </c>
      <c r="F76" s="17" t="s">
        <v>701</v>
      </c>
      <c r="G76" s="17"/>
      <c r="H76" s="17"/>
      <c r="I76" s="17"/>
      <c r="J76" s="16">
        <v>210</v>
      </c>
      <c r="K76" s="5" t="s">
        <v>109</v>
      </c>
      <c r="L76" s="6" t="s">
        <v>117</v>
      </c>
      <c r="M76" s="104"/>
      <c r="N76" s="6" t="s">
        <v>238</v>
      </c>
      <c r="O76" s="5" t="s">
        <v>714</v>
      </c>
      <c r="P76" s="6" t="s">
        <v>27</v>
      </c>
      <c r="Q76" s="7">
        <v>2027</v>
      </c>
      <c r="R76" s="8">
        <v>0.8</v>
      </c>
      <c r="S76" s="8">
        <v>0.19999999999999996</v>
      </c>
      <c r="T76" s="9">
        <f t="shared" si="10"/>
        <v>1</v>
      </c>
      <c r="U76" s="8">
        <v>0.05</v>
      </c>
      <c r="V76" s="8">
        <v>0</v>
      </c>
      <c r="W76" s="8">
        <v>6.8000000000000005E-2</v>
      </c>
      <c r="X76" s="10">
        <v>0.17639999999999995</v>
      </c>
      <c r="Y76" s="8">
        <v>0</v>
      </c>
      <c r="Z76" s="11">
        <v>46660</v>
      </c>
      <c r="AA76" s="12"/>
      <c r="AB76" s="22">
        <f t="shared" si="11"/>
        <v>306340</v>
      </c>
      <c r="AC76" s="22"/>
      <c r="AD76" s="4">
        <v>29.100770293693444</v>
      </c>
      <c r="AE76" s="14">
        <f t="shared" si="12"/>
        <v>0.18999001301621365</v>
      </c>
      <c r="AF76" s="13">
        <f t="shared" si="13"/>
        <v>36.760800000000003</v>
      </c>
      <c r="AG76" s="4">
        <v>120</v>
      </c>
      <c r="AH76" s="4">
        <v>265</v>
      </c>
      <c r="AI76" s="4">
        <v>1156</v>
      </c>
      <c r="AJ76" s="4">
        <v>500</v>
      </c>
      <c r="AK76" s="13">
        <f t="shared" si="14"/>
        <v>153.16999999999999</v>
      </c>
      <c r="AL76" s="13">
        <f t="shared" si="9"/>
        <v>122.536</v>
      </c>
      <c r="AM76" s="20">
        <v>132616.47275086504</v>
      </c>
      <c r="AN76" s="20">
        <f t="shared" si="15"/>
        <v>31800</v>
      </c>
      <c r="AO76" s="23">
        <f t="shared" si="16"/>
        <v>0.8</v>
      </c>
      <c r="AP76" s="24">
        <f t="shared" si="17"/>
        <v>1.8605083275965164</v>
      </c>
    </row>
    <row r="77" spans="1:42" x14ac:dyDescent="0.3">
      <c r="A77" t="s">
        <v>606</v>
      </c>
      <c r="B77" s="6" t="s">
        <v>325</v>
      </c>
      <c r="C77" s="15" t="s">
        <v>538</v>
      </c>
      <c r="D77" s="5" t="s">
        <v>550</v>
      </c>
      <c r="E77" s="19">
        <v>1</v>
      </c>
      <c r="F77" s="17" t="s">
        <v>701</v>
      </c>
      <c r="G77" s="17"/>
      <c r="H77" s="17"/>
      <c r="I77" s="17"/>
      <c r="J77" s="16">
        <v>211</v>
      </c>
      <c r="K77" s="5" t="s">
        <v>109</v>
      </c>
      <c r="L77" s="6" t="s">
        <v>117</v>
      </c>
      <c r="M77" s="104"/>
      <c r="N77" s="6" t="s">
        <v>50</v>
      </c>
      <c r="O77" s="5" t="s">
        <v>715</v>
      </c>
      <c r="P77" s="6" t="s">
        <v>27</v>
      </c>
      <c r="Q77" s="7">
        <v>2029</v>
      </c>
      <c r="R77" s="8">
        <v>0.8</v>
      </c>
      <c r="S77" s="8">
        <v>0.19999999999999996</v>
      </c>
      <c r="T77" s="9">
        <f t="shared" si="10"/>
        <v>1</v>
      </c>
      <c r="U77" s="8">
        <v>0.05</v>
      </c>
      <c r="V77" s="8">
        <v>0</v>
      </c>
      <c r="W77" s="8">
        <v>6.8000000000000005E-2</v>
      </c>
      <c r="X77" s="10">
        <v>0.17639999999999995</v>
      </c>
      <c r="Y77" s="8">
        <v>0</v>
      </c>
      <c r="Z77" s="11">
        <v>47391</v>
      </c>
      <c r="AA77" s="12"/>
      <c r="AB77" s="22">
        <f t="shared" si="11"/>
        <v>271890</v>
      </c>
      <c r="AC77" s="22"/>
      <c r="AD77" s="4">
        <v>26.085963646347818</v>
      </c>
      <c r="AE77" s="14">
        <f t="shared" si="12"/>
        <v>0.19188615724261884</v>
      </c>
      <c r="AF77" s="13">
        <f t="shared" si="13"/>
        <v>32.626800000000003</v>
      </c>
      <c r="AG77" s="4">
        <v>120</v>
      </c>
      <c r="AH77" s="4">
        <v>265</v>
      </c>
      <c r="AI77" s="4">
        <v>1026</v>
      </c>
      <c r="AJ77" s="4">
        <v>500</v>
      </c>
      <c r="AK77" s="13">
        <f t="shared" si="14"/>
        <v>135.94499999999999</v>
      </c>
      <c r="AL77" s="13">
        <f t="shared" si="9"/>
        <v>108.756</v>
      </c>
      <c r="AM77" s="20">
        <v>124993.82916531341</v>
      </c>
      <c r="AN77" s="20">
        <f t="shared" si="15"/>
        <v>31800</v>
      </c>
      <c r="AO77" s="23">
        <f t="shared" si="16"/>
        <v>0.8</v>
      </c>
      <c r="AP77" s="24">
        <f t="shared" si="17"/>
        <v>1.8523399895648596</v>
      </c>
    </row>
    <row r="78" spans="1:42" x14ac:dyDescent="0.3">
      <c r="A78" t="s">
        <v>606</v>
      </c>
      <c r="B78" s="6" t="s">
        <v>326</v>
      </c>
      <c r="C78" s="15" t="s">
        <v>538</v>
      </c>
      <c r="D78" s="5" t="s">
        <v>550</v>
      </c>
      <c r="E78" s="19">
        <v>1</v>
      </c>
      <c r="F78" s="17" t="s">
        <v>701</v>
      </c>
      <c r="G78" s="17"/>
      <c r="H78" s="17"/>
      <c r="I78" s="17"/>
      <c r="J78" s="16">
        <v>212</v>
      </c>
      <c r="K78" s="5" t="s">
        <v>109</v>
      </c>
      <c r="L78" s="6" t="s">
        <v>117</v>
      </c>
      <c r="M78" s="104"/>
      <c r="N78" s="6" t="s">
        <v>51</v>
      </c>
      <c r="O78" s="5" t="s">
        <v>715</v>
      </c>
      <c r="P78" s="6" t="s">
        <v>27</v>
      </c>
      <c r="Q78" s="25">
        <v>2030</v>
      </c>
      <c r="R78" s="8">
        <v>0.8</v>
      </c>
      <c r="S78" s="8">
        <v>0.19999999999999996</v>
      </c>
      <c r="T78" s="9">
        <f t="shared" si="10"/>
        <v>1</v>
      </c>
      <c r="U78" s="8">
        <v>0.05</v>
      </c>
      <c r="V78" s="8">
        <v>0</v>
      </c>
      <c r="W78" s="8">
        <v>6.8000000000000005E-2</v>
      </c>
      <c r="X78" s="10">
        <v>0.17639999999999995</v>
      </c>
      <c r="Y78" s="8">
        <v>0</v>
      </c>
      <c r="Z78" s="11">
        <v>48487</v>
      </c>
      <c r="AA78" s="12"/>
      <c r="AB78" s="22">
        <f t="shared" si="11"/>
        <v>271890</v>
      </c>
      <c r="AC78" s="22"/>
      <c r="AD78" s="4">
        <v>28.921974181305991</v>
      </c>
      <c r="AE78" s="14">
        <f t="shared" si="12"/>
        <v>0.21274761249995214</v>
      </c>
      <c r="AF78" s="13">
        <f t="shared" si="13"/>
        <v>32.626800000000003</v>
      </c>
      <c r="AG78" s="4">
        <v>120</v>
      </c>
      <c r="AH78" s="4">
        <v>265</v>
      </c>
      <c r="AI78" s="4">
        <v>1026</v>
      </c>
      <c r="AJ78" s="4">
        <v>500</v>
      </c>
      <c r="AK78" s="13">
        <f t="shared" si="14"/>
        <v>135.94499999999999</v>
      </c>
      <c r="AL78" s="13">
        <f t="shared" si="9"/>
        <v>108.756</v>
      </c>
      <c r="AM78" s="20">
        <v>124993.82916531341</v>
      </c>
      <c r="AN78" s="20">
        <f t="shared" si="15"/>
        <v>31800</v>
      </c>
      <c r="AO78" s="23">
        <f t="shared" si="16"/>
        <v>0.8</v>
      </c>
      <c r="AP78" s="24">
        <f t="shared" si="17"/>
        <v>1.7669888872138106</v>
      </c>
    </row>
    <row r="79" spans="1:42" x14ac:dyDescent="0.3">
      <c r="A79" t="s">
        <v>607</v>
      </c>
      <c r="B79" s="6" t="s">
        <v>327</v>
      </c>
      <c r="C79" s="15" t="s">
        <v>537</v>
      </c>
      <c r="D79" s="5" t="s">
        <v>550</v>
      </c>
      <c r="E79" s="19">
        <v>1</v>
      </c>
      <c r="F79" s="17"/>
      <c r="G79" s="17"/>
      <c r="H79" s="17"/>
      <c r="I79" s="17"/>
      <c r="J79" s="16">
        <v>214</v>
      </c>
      <c r="K79" s="5" t="s">
        <v>119</v>
      </c>
      <c r="L79" s="6" t="s">
        <v>120</v>
      </c>
      <c r="M79" s="104"/>
      <c r="N79" s="6" t="s">
        <v>50</v>
      </c>
      <c r="O79" s="5" t="s">
        <v>715</v>
      </c>
      <c r="P79" s="6" t="s">
        <v>27</v>
      </c>
      <c r="Q79" s="7">
        <v>2029</v>
      </c>
      <c r="R79" s="8">
        <v>0.45834999999999998</v>
      </c>
      <c r="S79" s="8">
        <v>0.5</v>
      </c>
      <c r="T79" s="9">
        <f t="shared" si="10"/>
        <v>0.95835000000000004</v>
      </c>
      <c r="U79" s="8">
        <v>0.05</v>
      </c>
      <c r="V79" s="8">
        <v>0</v>
      </c>
      <c r="W79" s="8">
        <v>6.8000000000000005E-2</v>
      </c>
      <c r="X79" s="10">
        <v>0.441</v>
      </c>
      <c r="Y79" s="8">
        <v>4.1649999999999965E-2</v>
      </c>
      <c r="Z79" s="11">
        <v>47391</v>
      </c>
      <c r="AA79" s="12"/>
      <c r="AB79" s="22">
        <f t="shared" si="11"/>
        <v>233408</v>
      </c>
      <c r="AC79" s="22"/>
      <c r="AD79" s="4">
        <v>71.192931154640661</v>
      </c>
      <c r="AE79" s="14">
        <f t="shared" si="12"/>
        <v>0.50835826217496582</v>
      </c>
      <c r="AF79" s="13">
        <f t="shared" si="13"/>
        <v>38.045503999999994</v>
      </c>
      <c r="AG79" s="4">
        <v>163</v>
      </c>
      <c r="AH79" s="4">
        <v>212.7693710118505</v>
      </c>
      <c r="AI79" s="4">
        <v>1097</v>
      </c>
      <c r="AJ79" s="4">
        <v>600</v>
      </c>
      <c r="AK79" s="13">
        <f t="shared" si="14"/>
        <v>140.04480000000001</v>
      </c>
      <c r="AL79" s="13">
        <f t="shared" si="9"/>
        <v>64.189534080000001</v>
      </c>
      <c r="AM79" s="20">
        <v>127661.6226071103</v>
      </c>
      <c r="AN79" s="20">
        <f t="shared" si="15"/>
        <v>34681.407474931628</v>
      </c>
      <c r="AO79" s="23">
        <f t="shared" si="16"/>
        <v>0.49999999999999994</v>
      </c>
      <c r="AP79" s="24">
        <f t="shared" si="17"/>
        <v>0.64100515446669049</v>
      </c>
    </row>
    <row r="80" spans="1:42" x14ac:dyDescent="0.3">
      <c r="A80" t="s">
        <v>607</v>
      </c>
      <c r="B80" s="6" t="s">
        <v>328</v>
      </c>
      <c r="C80" s="15" t="s">
        <v>537</v>
      </c>
      <c r="D80" s="5" t="s">
        <v>550</v>
      </c>
      <c r="E80" s="19">
        <v>1</v>
      </c>
      <c r="F80" s="17"/>
      <c r="G80" s="17"/>
      <c r="H80" s="17"/>
      <c r="I80" s="17"/>
      <c r="J80" s="16">
        <v>215</v>
      </c>
      <c r="K80" s="5" t="s">
        <v>119</v>
      </c>
      <c r="L80" s="6" t="s">
        <v>120</v>
      </c>
      <c r="M80" s="104"/>
      <c r="N80" s="6" t="s">
        <v>51</v>
      </c>
      <c r="O80" s="5" t="s">
        <v>715</v>
      </c>
      <c r="P80" s="6" t="s">
        <v>27</v>
      </c>
      <c r="Q80" s="7">
        <v>2030</v>
      </c>
      <c r="R80" s="8">
        <v>0.45834999999999998</v>
      </c>
      <c r="S80" s="8">
        <v>0.5</v>
      </c>
      <c r="T80" s="9">
        <f t="shared" si="10"/>
        <v>0.95835000000000004</v>
      </c>
      <c r="U80" s="8">
        <v>0.05</v>
      </c>
      <c r="V80" s="8">
        <v>0</v>
      </c>
      <c r="W80" s="8">
        <v>6.8000000000000005E-2</v>
      </c>
      <c r="X80" s="10">
        <v>0.441</v>
      </c>
      <c r="Y80" s="8">
        <v>4.1649999999999965E-2</v>
      </c>
      <c r="Z80" s="11">
        <v>47756</v>
      </c>
      <c r="AA80" s="12"/>
      <c r="AB80" s="22">
        <f t="shared" si="11"/>
        <v>242000</v>
      </c>
      <c r="AC80" s="22"/>
      <c r="AD80" s="4">
        <v>76.39709635617821</v>
      </c>
      <c r="AE80" s="14">
        <f t="shared" si="12"/>
        <v>0.5261508013510896</v>
      </c>
      <c r="AF80" s="13">
        <f t="shared" si="13"/>
        <v>39.445999999999998</v>
      </c>
      <c r="AG80" s="4">
        <v>163</v>
      </c>
      <c r="AH80" s="4">
        <v>220</v>
      </c>
      <c r="AI80" s="4">
        <v>1100</v>
      </c>
      <c r="AJ80" s="4">
        <v>600</v>
      </c>
      <c r="AK80" s="13">
        <f t="shared" si="14"/>
        <v>145.19999999999999</v>
      </c>
      <c r="AL80" s="13">
        <f t="shared" si="9"/>
        <v>66.552419999999998</v>
      </c>
      <c r="AM80" s="20">
        <v>132000</v>
      </c>
      <c r="AN80" s="20">
        <f t="shared" si="15"/>
        <v>35860</v>
      </c>
      <c r="AO80" s="23">
        <f t="shared" si="16"/>
        <v>0.49999999999999994</v>
      </c>
      <c r="AP80" s="24">
        <f t="shared" si="17"/>
        <v>0.62670976763932151</v>
      </c>
    </row>
    <row r="81" spans="1:42" x14ac:dyDescent="0.3">
      <c r="A81" t="s">
        <v>608</v>
      </c>
      <c r="B81" s="6" t="s">
        <v>329</v>
      </c>
      <c r="C81" s="15" t="s">
        <v>537</v>
      </c>
      <c r="D81" s="5" t="s">
        <v>550</v>
      </c>
      <c r="E81" s="19">
        <v>1</v>
      </c>
      <c r="F81" s="17"/>
      <c r="G81" s="17"/>
      <c r="H81" s="17"/>
      <c r="I81" s="17"/>
      <c r="J81" s="16">
        <v>216</v>
      </c>
      <c r="K81" s="5" t="s">
        <v>119</v>
      </c>
      <c r="L81" s="6" t="s">
        <v>120</v>
      </c>
      <c r="M81" s="104"/>
      <c r="N81" s="6" t="s">
        <v>121</v>
      </c>
      <c r="O81" s="5" t="s">
        <v>715</v>
      </c>
      <c r="P81" s="6" t="s">
        <v>27</v>
      </c>
      <c r="Q81" s="7">
        <v>2027</v>
      </c>
      <c r="R81" s="8">
        <v>0.4844</v>
      </c>
      <c r="S81" s="8">
        <v>0.47158285153267154</v>
      </c>
      <c r="T81" s="9">
        <f t="shared" si="10"/>
        <v>0.9559828515326716</v>
      </c>
      <c r="U81" s="8">
        <v>0.05</v>
      </c>
      <c r="V81" s="8">
        <v>0</v>
      </c>
      <c r="W81" s="8">
        <v>6.8000000000000005E-2</v>
      </c>
      <c r="X81" s="10">
        <v>0.41593607505181629</v>
      </c>
      <c r="Y81" s="8">
        <v>4.4017148467328404E-2</v>
      </c>
      <c r="Z81" s="11">
        <v>46660</v>
      </c>
      <c r="AA81" s="12"/>
      <c r="AB81" s="22">
        <f t="shared" si="11"/>
        <v>182214</v>
      </c>
      <c r="AC81" s="22"/>
      <c r="AD81" s="4">
        <v>55.458464548891712</v>
      </c>
      <c r="AE81" s="14">
        <f t="shared" si="12"/>
        <v>0.44758671404544137</v>
      </c>
      <c r="AF81" s="13">
        <f t="shared" si="13"/>
        <v>29.700882</v>
      </c>
      <c r="AG81" s="4">
        <v>163</v>
      </c>
      <c r="AH81" s="4">
        <v>240.07114624505928</v>
      </c>
      <c r="AI81" s="4">
        <v>759</v>
      </c>
      <c r="AJ81" s="4">
        <v>680</v>
      </c>
      <c r="AK81" s="13">
        <f t="shared" si="14"/>
        <v>123.90552</v>
      </c>
      <c r="AL81" s="13">
        <f t="shared" si="9"/>
        <v>60.019833888000001</v>
      </c>
      <c r="AM81" s="20">
        <v>163248.37944664032</v>
      </c>
      <c r="AN81" s="20">
        <f t="shared" si="15"/>
        <v>39131.596837944664</v>
      </c>
      <c r="AO81" s="23">
        <f t="shared" si="16"/>
        <v>0.52841714846732835</v>
      </c>
      <c r="AP81" s="24">
        <f t="shared" si="17"/>
        <v>0.76883870310314895</v>
      </c>
    </row>
    <row r="82" spans="1:42" x14ac:dyDescent="0.3">
      <c r="A82" t="s">
        <v>609</v>
      </c>
      <c r="B82" s="120" t="s">
        <v>330</v>
      </c>
      <c r="C82" s="15" t="s">
        <v>536</v>
      </c>
      <c r="D82" s="5" t="s">
        <v>550</v>
      </c>
      <c r="E82" s="19">
        <v>1</v>
      </c>
      <c r="F82" s="17"/>
      <c r="G82" s="17"/>
      <c r="H82" s="17"/>
      <c r="I82" s="17"/>
      <c r="J82" s="16">
        <v>217</v>
      </c>
      <c r="K82" s="5" t="s">
        <v>119</v>
      </c>
      <c r="L82" s="6" t="s">
        <v>122</v>
      </c>
      <c r="M82" s="104"/>
      <c r="N82" s="6" t="s">
        <v>123</v>
      </c>
      <c r="O82" s="5" t="s">
        <v>715</v>
      </c>
      <c r="P82" s="6" t="s">
        <v>27</v>
      </c>
      <c r="Q82" s="7">
        <v>2028</v>
      </c>
      <c r="R82" s="8">
        <v>0.68752499999999994</v>
      </c>
      <c r="S82" s="8">
        <v>0.25</v>
      </c>
      <c r="T82" s="9">
        <f t="shared" si="10"/>
        <v>0.93752499999999994</v>
      </c>
      <c r="U82" s="8">
        <v>0.05</v>
      </c>
      <c r="V82" s="8">
        <v>0</v>
      </c>
      <c r="W82" s="8">
        <v>6.8000000000000005E-2</v>
      </c>
      <c r="X82" s="10">
        <v>0.2205</v>
      </c>
      <c r="Y82" s="8">
        <v>6.2475000000000058E-2</v>
      </c>
      <c r="Z82" s="11">
        <v>46934</v>
      </c>
      <c r="AA82" s="12"/>
      <c r="AB82" s="22">
        <f t="shared" si="11"/>
        <v>203996</v>
      </c>
      <c r="AC82" s="22"/>
      <c r="AD82" s="4">
        <v>25.049046389044534</v>
      </c>
      <c r="AE82" s="14">
        <f t="shared" si="12"/>
        <v>0.24558370153379996</v>
      </c>
      <c r="AF82" s="13">
        <f t="shared" si="13"/>
        <v>28.559439999999999</v>
      </c>
      <c r="AG82" s="4">
        <v>140</v>
      </c>
      <c r="AH82" s="4">
        <v>313.357910906298</v>
      </c>
      <c r="AI82" s="4">
        <v>651</v>
      </c>
      <c r="AJ82" s="4">
        <v>500.00000000000006</v>
      </c>
      <c r="AK82" s="13">
        <f t="shared" si="14"/>
        <v>101.99800000000002</v>
      </c>
      <c r="AL82" s="13">
        <f t="shared" si="9"/>
        <v>70.126174950000006</v>
      </c>
      <c r="AM82" s="20">
        <v>156678.95545314901</v>
      </c>
      <c r="AN82" s="20">
        <f t="shared" si="15"/>
        <v>43870.107526881722</v>
      </c>
      <c r="AO82" s="23">
        <f t="shared" si="16"/>
        <v>0.75</v>
      </c>
      <c r="AP82" s="24">
        <f t="shared" si="17"/>
        <v>1.4269848890125221</v>
      </c>
    </row>
    <row r="83" spans="1:42" x14ac:dyDescent="0.3">
      <c r="A83" t="s">
        <v>610</v>
      </c>
      <c r="B83" s="6" t="s">
        <v>331</v>
      </c>
      <c r="C83" s="15" t="s">
        <v>534</v>
      </c>
      <c r="D83" s="5" t="s">
        <v>550</v>
      </c>
      <c r="E83" s="19">
        <v>1</v>
      </c>
      <c r="F83" s="17"/>
      <c r="G83" s="17"/>
      <c r="H83" s="17"/>
      <c r="I83" s="17"/>
      <c r="J83" s="16">
        <v>218</v>
      </c>
      <c r="K83" s="5" t="s">
        <v>119</v>
      </c>
      <c r="L83" s="6" t="s">
        <v>124</v>
      </c>
      <c r="M83" s="104"/>
      <c r="N83" s="6" t="s">
        <v>125</v>
      </c>
      <c r="O83" s="5" t="s">
        <v>715</v>
      </c>
      <c r="P83" s="6" t="s">
        <v>27</v>
      </c>
      <c r="Q83" s="7">
        <v>2028</v>
      </c>
      <c r="R83" s="8">
        <v>0.50418499999999999</v>
      </c>
      <c r="S83" s="8">
        <v>0.44999999999999996</v>
      </c>
      <c r="T83" s="9">
        <f t="shared" si="10"/>
        <v>0.95418499999999995</v>
      </c>
      <c r="U83" s="8">
        <v>0.05</v>
      </c>
      <c r="V83" s="8">
        <v>9.0000000000000011E-2</v>
      </c>
      <c r="W83" s="8">
        <v>6.8000000000000005E-2</v>
      </c>
      <c r="X83" s="10">
        <v>0.35639999999999994</v>
      </c>
      <c r="Y83" s="8">
        <v>4.581500000000005E-2</v>
      </c>
      <c r="Z83" s="11">
        <v>46934</v>
      </c>
      <c r="AA83" s="12"/>
      <c r="AB83" s="22">
        <f t="shared" si="11"/>
        <v>411540</v>
      </c>
      <c r="AC83" s="22"/>
      <c r="AD83" s="4">
        <v>106.18277042702546</v>
      </c>
      <c r="AE83" s="14">
        <f t="shared" si="12"/>
        <v>0.39694345227503997</v>
      </c>
      <c r="AF83" s="13">
        <f t="shared" si="13"/>
        <v>69.961799999999997</v>
      </c>
      <c r="AG83" s="4">
        <v>170</v>
      </c>
      <c r="AH83" s="4">
        <v>361</v>
      </c>
      <c r="AI83" s="4">
        <v>1140</v>
      </c>
      <c r="AJ83" s="4">
        <v>650</v>
      </c>
      <c r="AK83" s="13">
        <f t="shared" si="14"/>
        <v>267.50099999999998</v>
      </c>
      <c r="AL83" s="13">
        <f t="shared" si="9"/>
        <v>134.86999168499997</v>
      </c>
      <c r="AM83" s="20">
        <v>234650</v>
      </c>
      <c r="AN83" s="20">
        <f t="shared" si="15"/>
        <v>61370</v>
      </c>
      <c r="AO83" s="23">
        <f t="shared" si="16"/>
        <v>0.55000000000000004</v>
      </c>
      <c r="AP83" s="24">
        <f t="shared" si="17"/>
        <v>0.83525452781953513</v>
      </c>
    </row>
    <row r="84" spans="1:42" x14ac:dyDescent="0.3">
      <c r="A84" t="s">
        <v>610</v>
      </c>
      <c r="B84" s="6" t="s">
        <v>332</v>
      </c>
      <c r="C84" s="15" t="s">
        <v>534</v>
      </c>
      <c r="D84" s="5" t="s">
        <v>550</v>
      </c>
      <c r="E84" s="19">
        <v>1</v>
      </c>
      <c r="F84" s="17"/>
      <c r="G84" s="17"/>
      <c r="H84" s="17"/>
      <c r="I84" s="17"/>
      <c r="J84" s="16">
        <v>219</v>
      </c>
      <c r="K84" s="5" t="s">
        <v>119</v>
      </c>
      <c r="L84" s="6" t="s">
        <v>124</v>
      </c>
      <c r="M84" s="104"/>
      <c r="N84" s="6" t="s">
        <v>126</v>
      </c>
      <c r="O84" s="5" t="s">
        <v>715</v>
      </c>
      <c r="P84" s="6" t="s">
        <v>27</v>
      </c>
      <c r="Q84" s="7">
        <v>2029</v>
      </c>
      <c r="R84" s="8">
        <v>0.50418499999999999</v>
      </c>
      <c r="S84" s="8">
        <v>0.44999999999999996</v>
      </c>
      <c r="T84" s="9">
        <f t="shared" si="10"/>
        <v>0.95418499999999995</v>
      </c>
      <c r="U84" s="8">
        <v>0.05</v>
      </c>
      <c r="V84" s="8">
        <v>9.0000000000000011E-2</v>
      </c>
      <c r="W84" s="8">
        <v>6.8000000000000005E-2</v>
      </c>
      <c r="X84" s="10">
        <v>0.35639999999999994</v>
      </c>
      <c r="Y84" s="8">
        <v>4.581500000000005E-2</v>
      </c>
      <c r="Z84" s="11">
        <v>47299</v>
      </c>
      <c r="AA84" s="12"/>
      <c r="AB84" s="22">
        <f t="shared" si="11"/>
        <v>411540</v>
      </c>
      <c r="AC84" s="22"/>
      <c r="AD84" s="4">
        <v>109.89916739197133</v>
      </c>
      <c r="AE84" s="14">
        <f t="shared" si="12"/>
        <v>0.41083647310466631</v>
      </c>
      <c r="AF84" s="13">
        <f t="shared" si="13"/>
        <v>69.961799999999997</v>
      </c>
      <c r="AG84" s="4">
        <v>170</v>
      </c>
      <c r="AH84" s="4">
        <v>361</v>
      </c>
      <c r="AI84" s="4">
        <v>1140</v>
      </c>
      <c r="AJ84" s="4">
        <v>650</v>
      </c>
      <c r="AK84" s="13">
        <f t="shared" si="14"/>
        <v>267.50099999999998</v>
      </c>
      <c r="AL84" s="13">
        <f t="shared" si="9"/>
        <v>134.86999168499997</v>
      </c>
      <c r="AM84" s="20">
        <v>234650</v>
      </c>
      <c r="AN84" s="20">
        <f t="shared" si="15"/>
        <v>61370</v>
      </c>
      <c r="AO84" s="23">
        <f t="shared" si="16"/>
        <v>0.55000000000000004</v>
      </c>
      <c r="AP84" s="24">
        <f t="shared" si="17"/>
        <v>0.81799598953212038</v>
      </c>
    </row>
    <row r="85" spans="1:42" x14ac:dyDescent="0.3">
      <c r="A85" t="s">
        <v>610</v>
      </c>
      <c r="B85" s="6" t="s">
        <v>333</v>
      </c>
      <c r="C85" s="15" t="s">
        <v>534</v>
      </c>
      <c r="D85" s="5" t="s">
        <v>550</v>
      </c>
      <c r="E85" s="19">
        <v>1</v>
      </c>
      <c r="F85" s="17"/>
      <c r="G85" s="17"/>
      <c r="H85" s="17"/>
      <c r="I85" s="17"/>
      <c r="J85" s="16">
        <v>220</v>
      </c>
      <c r="K85" s="5" t="s">
        <v>119</v>
      </c>
      <c r="L85" s="6" t="s">
        <v>124</v>
      </c>
      <c r="M85" s="104"/>
      <c r="N85" s="6" t="s">
        <v>127</v>
      </c>
      <c r="O85" s="5" t="s">
        <v>715</v>
      </c>
      <c r="P85" s="6" t="s">
        <v>27</v>
      </c>
      <c r="Q85" s="7">
        <v>2031</v>
      </c>
      <c r="R85" s="8">
        <v>0.50418499999999999</v>
      </c>
      <c r="S85" s="8">
        <v>0.44999999999999996</v>
      </c>
      <c r="T85" s="9">
        <f t="shared" si="10"/>
        <v>0.95418499999999995</v>
      </c>
      <c r="U85" s="8">
        <v>0.05</v>
      </c>
      <c r="V85" s="8">
        <v>9.0000000000000011E-2</v>
      </c>
      <c r="W85" s="8">
        <v>6.8000000000000005E-2</v>
      </c>
      <c r="X85" s="10">
        <v>0.35639999999999994</v>
      </c>
      <c r="Y85" s="8">
        <v>4.581500000000005E-2</v>
      </c>
      <c r="Z85" s="11">
        <v>48029</v>
      </c>
      <c r="AA85" s="12"/>
      <c r="AB85" s="22">
        <f t="shared" si="11"/>
        <v>202882</v>
      </c>
      <c r="AC85" s="22"/>
      <c r="AD85" s="4">
        <v>58.037215264279844</v>
      </c>
      <c r="AE85" s="14">
        <f t="shared" si="12"/>
        <v>0.440098300901546</v>
      </c>
      <c r="AF85" s="13">
        <f t="shared" si="13"/>
        <v>34.489939999999997</v>
      </c>
      <c r="AG85" s="4">
        <v>170</v>
      </c>
      <c r="AH85" s="4">
        <v>361</v>
      </c>
      <c r="AI85" s="4">
        <v>562</v>
      </c>
      <c r="AJ85" s="4">
        <v>650</v>
      </c>
      <c r="AK85" s="13">
        <f t="shared" si="14"/>
        <v>131.8733</v>
      </c>
      <c r="AL85" s="13">
        <f t="shared" si="9"/>
        <v>66.488539760500004</v>
      </c>
      <c r="AM85" s="20">
        <v>234650</v>
      </c>
      <c r="AN85" s="20">
        <f t="shared" si="15"/>
        <v>61370</v>
      </c>
      <c r="AO85" s="23">
        <f t="shared" si="16"/>
        <v>0.55000000000000004</v>
      </c>
      <c r="AP85" s="24">
        <f t="shared" si="17"/>
        <v>0.78388138912123639</v>
      </c>
    </row>
    <row r="86" spans="1:42" x14ac:dyDescent="0.3">
      <c r="A86" t="s">
        <v>611</v>
      </c>
      <c r="B86" s="6" t="s">
        <v>334</v>
      </c>
      <c r="C86" s="15" t="s">
        <v>535</v>
      </c>
      <c r="D86" s="5" t="s">
        <v>550</v>
      </c>
      <c r="E86" s="19">
        <v>1</v>
      </c>
      <c r="F86" s="17"/>
      <c r="G86" s="17"/>
      <c r="H86" s="17"/>
      <c r="I86" s="17"/>
      <c r="J86" s="16">
        <v>221</v>
      </c>
      <c r="K86" s="5" t="s">
        <v>119</v>
      </c>
      <c r="L86" s="6" t="s">
        <v>128</v>
      </c>
      <c r="M86" s="104"/>
      <c r="N86" s="6" t="s">
        <v>129</v>
      </c>
      <c r="O86" s="5" t="s">
        <v>715</v>
      </c>
      <c r="P86" s="6" t="s">
        <v>80</v>
      </c>
      <c r="Q86" s="7">
        <v>2030</v>
      </c>
      <c r="R86" s="8">
        <v>0.41339999999999999</v>
      </c>
      <c r="S86" s="8">
        <v>0.38</v>
      </c>
      <c r="T86" s="9">
        <f t="shared" si="10"/>
        <v>0.79339999999999999</v>
      </c>
      <c r="U86" s="8">
        <v>0.05</v>
      </c>
      <c r="V86" s="8">
        <v>9.0000000000000011E-2</v>
      </c>
      <c r="W86" s="8">
        <v>6.8000000000000005E-2</v>
      </c>
      <c r="X86" s="10">
        <v>0.30096000000000001</v>
      </c>
      <c r="Y86" s="8">
        <v>0.20660000000000001</v>
      </c>
      <c r="Z86" s="11">
        <v>47756</v>
      </c>
      <c r="AA86" s="12"/>
      <c r="AB86" s="22">
        <f t="shared" si="11"/>
        <v>213918.34</v>
      </c>
      <c r="AC86" s="22"/>
      <c r="AD86" s="4">
        <v>153.62377767883248</v>
      </c>
      <c r="AE86" s="14">
        <f t="shared" si="12"/>
        <v>0.35907107749347833</v>
      </c>
      <c r="AF86" s="13">
        <f t="shared" si="13"/>
        <v>77.010602399999996</v>
      </c>
      <c r="AG86" s="4">
        <v>360</v>
      </c>
      <c r="AH86" s="4">
        <v>250.19688888888888</v>
      </c>
      <c r="AI86" s="4">
        <v>855</v>
      </c>
      <c r="AJ86" s="4">
        <v>2000</v>
      </c>
      <c r="AK86" s="13">
        <f t="shared" si="14"/>
        <v>427.83668</v>
      </c>
      <c r="AL86" s="13">
        <f t="shared" si="9"/>
        <v>176.86768351199999</v>
      </c>
      <c r="AM86" s="20">
        <v>500393.77777777775</v>
      </c>
      <c r="AN86" s="20">
        <f t="shared" si="15"/>
        <v>90070.87999999999</v>
      </c>
      <c r="AO86" s="23">
        <f t="shared" si="16"/>
        <v>0.62</v>
      </c>
      <c r="AP86" s="24">
        <f t="shared" si="17"/>
        <v>1.1501266268686077</v>
      </c>
    </row>
    <row r="87" spans="1:42" x14ac:dyDescent="0.3">
      <c r="A87" t="s">
        <v>612</v>
      </c>
      <c r="B87" s="6" t="s">
        <v>335</v>
      </c>
      <c r="C87" s="15" t="s">
        <v>533</v>
      </c>
      <c r="D87" s="5" t="s">
        <v>550</v>
      </c>
      <c r="E87" s="19">
        <v>1</v>
      </c>
      <c r="F87" s="17"/>
      <c r="G87" s="17"/>
      <c r="H87" s="17"/>
      <c r="I87" s="17"/>
      <c r="J87" s="16">
        <v>222</v>
      </c>
      <c r="K87" s="5" t="s">
        <v>119</v>
      </c>
      <c r="L87" s="6" t="s">
        <v>130</v>
      </c>
      <c r="M87" s="104">
        <v>250000</v>
      </c>
      <c r="N87" s="6" t="s">
        <v>50</v>
      </c>
      <c r="O87" s="5" t="s">
        <v>714</v>
      </c>
      <c r="P87" s="6" t="s">
        <v>27</v>
      </c>
      <c r="Q87" s="7">
        <v>2029</v>
      </c>
      <c r="R87" s="8">
        <v>0.64168999999999998</v>
      </c>
      <c r="S87" s="8">
        <v>0.30000000000000004</v>
      </c>
      <c r="T87" s="9">
        <f t="shared" si="10"/>
        <v>0.94169000000000003</v>
      </c>
      <c r="U87" s="8">
        <v>0.05</v>
      </c>
      <c r="V87" s="8">
        <v>9.0000000000000011E-2</v>
      </c>
      <c r="W87" s="8">
        <v>6.8000000000000005E-2</v>
      </c>
      <c r="X87" s="10">
        <v>0.23760000000000003</v>
      </c>
      <c r="Y87" s="8">
        <v>5.8309999999999973E-2</v>
      </c>
      <c r="Z87" s="11">
        <v>47207</v>
      </c>
      <c r="AA87" s="12"/>
      <c r="AB87" s="22">
        <f t="shared" si="11"/>
        <v>26280</v>
      </c>
      <c r="AC87" s="22"/>
      <c r="AD87" s="4">
        <v>43.088529299217413</v>
      </c>
      <c r="AE87" s="14">
        <f t="shared" si="12"/>
        <v>2.7326566019290595</v>
      </c>
      <c r="AF87" s="13">
        <f t="shared" si="13"/>
        <v>4.2836400000000001</v>
      </c>
      <c r="AG87" s="4">
        <v>163</v>
      </c>
      <c r="AH87" s="75">
        <v>5256</v>
      </c>
      <c r="AI87" s="75">
        <v>5</v>
      </c>
      <c r="AJ87" s="4">
        <v>600</v>
      </c>
      <c r="AK87" s="13">
        <f t="shared" si="14"/>
        <v>15.768000000000001</v>
      </c>
      <c r="AL87" s="13">
        <f t="shared" si="9"/>
        <v>10.118167919999999</v>
      </c>
      <c r="AM87" s="20">
        <v>138000</v>
      </c>
      <c r="AN87" s="20">
        <f t="shared" si="15"/>
        <v>856728</v>
      </c>
      <c r="AO87" s="23">
        <f t="shared" si="16"/>
        <v>0.7</v>
      </c>
      <c r="AP87" s="24">
        <f t="shared" si="17"/>
        <v>0.23299756298435631</v>
      </c>
    </row>
    <row r="88" spans="1:42" x14ac:dyDescent="0.3">
      <c r="A88" t="s">
        <v>612</v>
      </c>
      <c r="B88" s="6" t="s">
        <v>336</v>
      </c>
      <c r="C88" s="15" t="s">
        <v>28</v>
      </c>
      <c r="D88" s="5" t="s">
        <v>550</v>
      </c>
      <c r="E88" s="19">
        <v>1</v>
      </c>
      <c r="F88" s="17"/>
      <c r="G88" s="17"/>
      <c r="H88" s="17"/>
      <c r="I88" s="17"/>
      <c r="J88" s="16">
        <v>223</v>
      </c>
      <c r="K88" s="5" t="s">
        <v>119</v>
      </c>
      <c r="L88" s="6" t="s">
        <v>130</v>
      </c>
      <c r="M88" s="104">
        <v>250000</v>
      </c>
      <c r="N88" s="6" t="s">
        <v>51</v>
      </c>
      <c r="O88" s="5" t="s">
        <v>715</v>
      </c>
      <c r="P88" s="6" t="s">
        <v>27</v>
      </c>
      <c r="Q88" s="7">
        <v>2031</v>
      </c>
      <c r="R88" s="8">
        <v>0.64168999999999998</v>
      </c>
      <c r="S88" s="8">
        <v>0.30000000000000004</v>
      </c>
      <c r="T88" s="9">
        <f t="shared" si="10"/>
        <v>0.94169000000000003</v>
      </c>
      <c r="U88" s="8">
        <v>0.05</v>
      </c>
      <c r="V88" s="8">
        <v>9.0000000000000011E-2</v>
      </c>
      <c r="W88" s="8">
        <v>6.8000000000000005E-2</v>
      </c>
      <c r="X88" s="10">
        <v>0.23760000000000003</v>
      </c>
      <c r="Y88" s="8">
        <v>5.8309999999999973E-2</v>
      </c>
      <c r="Z88" s="11">
        <v>47937</v>
      </c>
      <c r="AA88" s="12"/>
      <c r="AB88" s="22">
        <f t="shared" si="11"/>
        <v>262200</v>
      </c>
      <c r="AC88" s="22"/>
      <c r="AD88" s="4">
        <v>46.157509798554166</v>
      </c>
      <c r="AE88" s="14">
        <f t="shared" si="12"/>
        <v>0.29339886726769748</v>
      </c>
      <c r="AF88" s="13">
        <f t="shared" si="13"/>
        <v>42.738599999999998</v>
      </c>
      <c r="AG88" s="4">
        <v>163</v>
      </c>
      <c r="AH88" s="4">
        <v>230</v>
      </c>
      <c r="AI88" s="4">
        <v>1140</v>
      </c>
      <c r="AJ88" s="4">
        <v>600</v>
      </c>
      <c r="AK88" s="13">
        <f t="shared" si="14"/>
        <v>157.32</v>
      </c>
      <c r="AL88" s="13">
        <f t="shared" si="9"/>
        <v>100.9506708</v>
      </c>
      <c r="AM88" s="20">
        <v>138000</v>
      </c>
      <c r="AN88" s="20">
        <f t="shared" si="15"/>
        <v>37490</v>
      </c>
      <c r="AO88" s="23">
        <f t="shared" si="16"/>
        <v>0.7</v>
      </c>
      <c r="AP88" s="24">
        <f t="shared" si="17"/>
        <v>1.2387943662501089</v>
      </c>
    </row>
    <row r="89" spans="1:42" x14ac:dyDescent="0.3">
      <c r="A89" t="s">
        <v>613</v>
      </c>
      <c r="B89" s="6" t="s">
        <v>337</v>
      </c>
      <c r="C89" s="15" t="s">
        <v>532</v>
      </c>
      <c r="D89" s="5" t="s">
        <v>550</v>
      </c>
      <c r="E89" s="19">
        <v>1</v>
      </c>
      <c r="F89" s="17"/>
      <c r="G89" s="17"/>
      <c r="H89" s="17"/>
      <c r="I89" s="17"/>
      <c r="J89" s="16">
        <v>224</v>
      </c>
      <c r="K89" s="5" t="s">
        <v>119</v>
      </c>
      <c r="L89" s="6" t="s">
        <v>130</v>
      </c>
      <c r="M89" s="104"/>
      <c r="N89" s="6" t="s">
        <v>131</v>
      </c>
      <c r="O89" s="5" t="s">
        <v>718</v>
      </c>
      <c r="P89" s="6" t="s">
        <v>80</v>
      </c>
      <c r="Q89" s="7">
        <v>2026</v>
      </c>
      <c r="R89" s="8">
        <v>0.64168999999999998</v>
      </c>
      <c r="S89" s="8">
        <v>0.30000000000000004</v>
      </c>
      <c r="T89" s="9">
        <f t="shared" si="10"/>
        <v>0.94169000000000003</v>
      </c>
      <c r="U89" s="8">
        <v>0.05</v>
      </c>
      <c r="V89" s="8">
        <v>0</v>
      </c>
      <c r="W89" s="8">
        <v>6.8000000000000005E-2</v>
      </c>
      <c r="X89" s="10">
        <v>0.26460000000000006</v>
      </c>
      <c r="Y89" s="8">
        <v>5.8309999999999973E-2</v>
      </c>
      <c r="Z89" s="11">
        <v>46295</v>
      </c>
      <c r="AA89" s="12"/>
      <c r="AB89" s="22">
        <f t="shared" si="11"/>
        <v>110452.94999999998</v>
      </c>
      <c r="AC89" s="22"/>
      <c r="AD89" s="4">
        <v>29.111752849374728</v>
      </c>
      <c r="AE89" s="14">
        <f t="shared" si="12"/>
        <v>0.27454896000000012</v>
      </c>
      <c r="AF89" s="13">
        <f t="shared" si="13"/>
        <v>19.881530999999995</v>
      </c>
      <c r="AG89" s="4">
        <v>180</v>
      </c>
      <c r="AH89" s="4">
        <v>205.30288104089217</v>
      </c>
      <c r="AI89" s="4">
        <v>538</v>
      </c>
      <c r="AJ89" s="4">
        <v>960</v>
      </c>
      <c r="AK89" s="13">
        <f t="shared" si="14"/>
        <v>106.03483199999998</v>
      </c>
      <c r="AL89" s="13">
        <f t="shared" si="9"/>
        <v>68.04149134607998</v>
      </c>
      <c r="AM89" s="20">
        <v>197090.76579925648</v>
      </c>
      <c r="AN89" s="20">
        <f t="shared" si="15"/>
        <v>36954.518587360588</v>
      </c>
      <c r="AO89" s="23">
        <f t="shared" si="16"/>
        <v>0.7</v>
      </c>
      <c r="AP89" s="24">
        <f t="shared" si="17"/>
        <v>1.5149909654595908</v>
      </c>
    </row>
    <row r="90" spans="1:42" x14ac:dyDescent="0.3">
      <c r="A90" t="s">
        <v>685</v>
      </c>
      <c r="B90" s="6" t="s">
        <v>338</v>
      </c>
      <c r="C90" s="15" t="s">
        <v>28</v>
      </c>
      <c r="D90" s="5" t="s">
        <v>550</v>
      </c>
      <c r="E90" s="19">
        <v>1</v>
      </c>
      <c r="F90" s="17"/>
      <c r="G90" s="17"/>
      <c r="H90" s="17"/>
      <c r="I90" s="17"/>
      <c r="J90" s="16">
        <v>225</v>
      </c>
      <c r="K90" s="5" t="s">
        <v>119</v>
      </c>
      <c r="L90" s="6" t="s">
        <v>130</v>
      </c>
      <c r="M90" s="104"/>
      <c r="N90" s="6" t="s">
        <v>26</v>
      </c>
      <c r="O90" s="5" t="s">
        <v>718</v>
      </c>
      <c r="P90" s="6" t="s">
        <v>27</v>
      </c>
      <c r="Q90" s="7">
        <v>2029</v>
      </c>
      <c r="R90" s="8">
        <v>0.59585500000000002</v>
      </c>
      <c r="S90" s="8">
        <v>0.35</v>
      </c>
      <c r="T90" s="9">
        <f t="shared" si="10"/>
        <v>0.945855</v>
      </c>
      <c r="U90" s="8">
        <v>0.05</v>
      </c>
      <c r="V90" s="8">
        <v>9.0000000000000011E-2</v>
      </c>
      <c r="W90" s="8">
        <v>6.8000000000000005E-2</v>
      </c>
      <c r="X90" s="10">
        <v>0.2772</v>
      </c>
      <c r="Y90" s="8">
        <v>5.4144999999999999E-2</v>
      </c>
      <c r="Z90" s="11">
        <v>47299</v>
      </c>
      <c r="AA90" s="12"/>
      <c r="AB90" s="22">
        <f t="shared" si="11"/>
        <v>152280</v>
      </c>
      <c r="AC90" s="22"/>
      <c r="AD90" s="4">
        <v>39.801837514380061</v>
      </c>
      <c r="AE90" s="14">
        <f t="shared" si="12"/>
        <v>0.31953947908140712</v>
      </c>
      <c r="AF90" s="13">
        <f t="shared" si="13"/>
        <v>27.410399999999999</v>
      </c>
      <c r="AG90" s="4">
        <v>180</v>
      </c>
      <c r="AH90" s="4">
        <v>220.05780346820808</v>
      </c>
      <c r="AI90" s="4">
        <v>692</v>
      </c>
      <c r="AJ90" s="4">
        <v>817.96690307328595</v>
      </c>
      <c r="AK90" s="13">
        <f t="shared" si="14"/>
        <v>124.55999999999997</v>
      </c>
      <c r="AL90" s="13">
        <f t="shared" si="9"/>
        <v>74.219698799999989</v>
      </c>
      <c r="AM90" s="20">
        <v>179999.99999999997</v>
      </c>
      <c r="AN90" s="20">
        <f t="shared" si="15"/>
        <v>39610.404624277457</v>
      </c>
      <c r="AO90" s="23">
        <f t="shared" si="16"/>
        <v>0.65</v>
      </c>
      <c r="AP90" s="24">
        <f t="shared" si="17"/>
        <v>1.2046020634661616</v>
      </c>
    </row>
    <row r="91" spans="1:42" x14ac:dyDescent="0.3">
      <c r="A91" t="s">
        <v>614</v>
      </c>
      <c r="B91" s="6" t="s">
        <v>339</v>
      </c>
      <c r="C91" s="15" t="s">
        <v>531</v>
      </c>
      <c r="D91" s="5" t="s">
        <v>550</v>
      </c>
      <c r="E91" s="19">
        <v>1</v>
      </c>
      <c r="F91" s="17"/>
      <c r="G91" s="17"/>
      <c r="H91" s="17"/>
      <c r="I91" s="17"/>
      <c r="J91" s="16">
        <v>226</v>
      </c>
      <c r="K91" s="5" t="s">
        <v>119</v>
      </c>
      <c r="L91" s="6" t="s">
        <v>132</v>
      </c>
      <c r="M91" s="104"/>
      <c r="N91" s="6" t="s">
        <v>118</v>
      </c>
      <c r="O91" s="5" t="s">
        <v>714</v>
      </c>
      <c r="P91" s="6" t="s">
        <v>27</v>
      </c>
      <c r="Q91" s="7">
        <v>2026</v>
      </c>
      <c r="R91" s="8">
        <v>0.59585500000000002</v>
      </c>
      <c r="S91" s="8">
        <v>0.35</v>
      </c>
      <c r="T91" s="9">
        <f t="shared" si="10"/>
        <v>0.945855</v>
      </c>
      <c r="U91" s="8">
        <v>0.05</v>
      </c>
      <c r="V91" s="8">
        <v>9.0000000000000011E-2</v>
      </c>
      <c r="W91" s="8">
        <v>6.8000000000000005E-2</v>
      </c>
      <c r="X91" s="10">
        <v>0.2772</v>
      </c>
      <c r="Y91" s="8">
        <v>5.4144999999999999E-2</v>
      </c>
      <c r="Z91" s="11">
        <v>46387</v>
      </c>
      <c r="AA91" s="12"/>
      <c r="AB91" s="22">
        <f t="shared" si="11"/>
        <v>202302.49</v>
      </c>
      <c r="AC91" s="22"/>
      <c r="AD91" s="4">
        <v>37.821415083772322</v>
      </c>
      <c r="AE91" s="14">
        <f t="shared" si="12"/>
        <v>0.28762272</v>
      </c>
      <c r="AF91" s="13">
        <f t="shared" si="13"/>
        <v>32.97530587</v>
      </c>
      <c r="AG91" s="4">
        <v>163</v>
      </c>
      <c r="AH91" s="4">
        <v>275.99248294679398</v>
      </c>
      <c r="AI91" s="4">
        <v>733</v>
      </c>
      <c r="AJ91" s="4">
        <v>650</v>
      </c>
      <c r="AK91" s="13">
        <f t="shared" si="14"/>
        <v>131.49661850000001</v>
      </c>
      <c r="AL91" s="13">
        <f t="shared" si="9"/>
        <v>78.352917616317512</v>
      </c>
      <c r="AM91" s="20">
        <v>179395.11391541609</v>
      </c>
      <c r="AN91" s="20">
        <f t="shared" si="15"/>
        <v>44986.774720327419</v>
      </c>
      <c r="AO91" s="23">
        <f t="shared" si="16"/>
        <v>0.65</v>
      </c>
      <c r="AP91" s="24">
        <f t="shared" si="17"/>
        <v>1.2072988815514583</v>
      </c>
    </row>
    <row r="92" spans="1:42" x14ac:dyDescent="0.3">
      <c r="A92" t="s">
        <v>614</v>
      </c>
      <c r="B92" s="6" t="s">
        <v>340</v>
      </c>
      <c r="C92" s="15" t="s">
        <v>531</v>
      </c>
      <c r="D92" s="5" t="s">
        <v>550</v>
      </c>
      <c r="E92" s="19">
        <v>1</v>
      </c>
      <c r="F92" s="17"/>
      <c r="G92" s="17"/>
      <c r="H92" s="17"/>
      <c r="I92" s="17"/>
      <c r="J92" s="16">
        <v>227</v>
      </c>
      <c r="K92" s="5" t="s">
        <v>119</v>
      </c>
      <c r="L92" s="6" t="s">
        <v>132</v>
      </c>
      <c r="M92" s="104"/>
      <c r="N92" s="6" t="s">
        <v>133</v>
      </c>
      <c r="O92" s="5" t="s">
        <v>714</v>
      </c>
      <c r="P92" s="6" t="s">
        <v>27</v>
      </c>
      <c r="Q92" s="7">
        <v>2027</v>
      </c>
      <c r="R92" s="8">
        <v>0.59585500000000002</v>
      </c>
      <c r="S92" s="8">
        <v>0.35</v>
      </c>
      <c r="T92" s="9">
        <f t="shared" si="10"/>
        <v>0.945855</v>
      </c>
      <c r="U92" s="8">
        <v>0.05</v>
      </c>
      <c r="V92" s="8">
        <v>9.0000000000000011E-2</v>
      </c>
      <c r="W92" s="8">
        <v>6.8000000000000005E-2</v>
      </c>
      <c r="X92" s="10">
        <v>0.2772</v>
      </c>
      <c r="Y92" s="8">
        <v>5.4144999999999999E-2</v>
      </c>
      <c r="Z92" s="11">
        <v>46660</v>
      </c>
      <c r="AA92" s="12"/>
      <c r="AB92" s="22">
        <f t="shared" si="11"/>
        <v>92745.21</v>
      </c>
      <c r="AC92" s="22"/>
      <c r="AD92" s="4">
        <v>27.665295424113253</v>
      </c>
      <c r="AE92" s="14">
        <f t="shared" si="12"/>
        <v>0.29829352291199995</v>
      </c>
      <c r="AF92" s="13">
        <f t="shared" si="13"/>
        <v>15.117469230000003</v>
      </c>
      <c r="AG92" s="4">
        <v>163</v>
      </c>
      <c r="AH92" s="4">
        <v>2727.8002941176474</v>
      </c>
      <c r="AI92" s="4">
        <v>34</v>
      </c>
      <c r="AJ92" s="4">
        <v>1000</v>
      </c>
      <c r="AK92" s="13">
        <f t="shared" si="14"/>
        <v>92.745210000000014</v>
      </c>
      <c r="AL92" s="13">
        <f t="shared" si="9"/>
        <v>55.262697104550014</v>
      </c>
      <c r="AM92" s="20">
        <v>2727800.2941176472</v>
      </c>
      <c r="AN92" s="20">
        <f t="shared" si="15"/>
        <v>444631.44794117654</v>
      </c>
      <c r="AO92" s="23">
        <f t="shared" si="16"/>
        <v>0.65</v>
      </c>
      <c r="AP92" s="24">
        <f t="shared" si="17"/>
        <v>1.4090811331942312</v>
      </c>
    </row>
    <row r="93" spans="1:42" x14ac:dyDescent="0.3">
      <c r="A93" t="s">
        <v>614</v>
      </c>
      <c r="B93" s="6" t="s">
        <v>341</v>
      </c>
      <c r="C93" s="15" t="s">
        <v>531</v>
      </c>
      <c r="D93" s="5" t="s">
        <v>550</v>
      </c>
      <c r="E93" s="19">
        <v>1</v>
      </c>
      <c r="F93" s="17"/>
      <c r="G93" s="17"/>
      <c r="H93" s="17"/>
      <c r="I93" s="17"/>
      <c r="J93" s="16">
        <v>228</v>
      </c>
      <c r="K93" s="5" t="s">
        <v>119</v>
      </c>
      <c r="L93" s="6" t="s">
        <v>132</v>
      </c>
      <c r="M93" s="104"/>
      <c r="N93" s="6" t="s">
        <v>50</v>
      </c>
      <c r="O93" s="5" t="s">
        <v>715</v>
      </c>
      <c r="P93" s="6" t="s">
        <v>27</v>
      </c>
      <c r="Q93" s="7">
        <v>2029</v>
      </c>
      <c r="R93" s="8">
        <v>0.59585500000000002</v>
      </c>
      <c r="S93" s="8">
        <v>0.35</v>
      </c>
      <c r="T93" s="9">
        <f t="shared" si="10"/>
        <v>0.945855</v>
      </c>
      <c r="U93" s="8">
        <v>0.05</v>
      </c>
      <c r="V93" s="8">
        <v>9.0000000000000011E-2</v>
      </c>
      <c r="W93" s="8">
        <v>6.8000000000000005E-2</v>
      </c>
      <c r="X93" s="10">
        <v>0.2772</v>
      </c>
      <c r="Y93" s="8">
        <v>5.4144999999999999E-2</v>
      </c>
      <c r="Z93" s="11">
        <v>47483</v>
      </c>
      <c r="AA93" s="12"/>
      <c r="AB93" s="22">
        <f t="shared" si="11"/>
        <v>220800</v>
      </c>
      <c r="AC93" s="22"/>
      <c r="AD93" s="4">
        <v>45.86030603776355</v>
      </c>
      <c r="AE93" s="14">
        <f t="shared" si="12"/>
        <v>0.31953947908140712</v>
      </c>
      <c r="AF93" s="13">
        <f t="shared" si="13"/>
        <v>35.990400000000001</v>
      </c>
      <c r="AG93" s="4">
        <v>163</v>
      </c>
      <c r="AH93" s="4">
        <v>276</v>
      </c>
      <c r="AI93" s="4">
        <v>800</v>
      </c>
      <c r="AJ93" s="4">
        <v>650</v>
      </c>
      <c r="AK93" s="13">
        <f t="shared" si="14"/>
        <v>143.52000000000001</v>
      </c>
      <c r="AL93" s="13">
        <f t="shared" si="9"/>
        <v>85.517109600000012</v>
      </c>
      <c r="AM93" s="20">
        <v>179400</v>
      </c>
      <c r="AN93" s="20">
        <f t="shared" si="15"/>
        <v>44988</v>
      </c>
      <c r="AO93" s="23">
        <f t="shared" si="16"/>
        <v>0.65</v>
      </c>
      <c r="AP93" s="24">
        <f t="shared" si="17"/>
        <v>1.1397336017719824</v>
      </c>
    </row>
    <row r="94" spans="1:42" x14ac:dyDescent="0.3">
      <c r="A94" t="s">
        <v>614</v>
      </c>
      <c r="B94" s="6" t="s">
        <v>342</v>
      </c>
      <c r="C94" s="15" t="s">
        <v>531</v>
      </c>
      <c r="D94" s="5" t="s">
        <v>550</v>
      </c>
      <c r="E94" s="19">
        <v>1</v>
      </c>
      <c r="F94" s="17"/>
      <c r="G94" s="17"/>
      <c r="H94" s="17"/>
      <c r="I94" s="17"/>
      <c r="J94" s="16">
        <v>229</v>
      </c>
      <c r="K94" s="5" t="s">
        <v>119</v>
      </c>
      <c r="L94" s="6" t="s">
        <v>132</v>
      </c>
      <c r="M94" s="104"/>
      <c r="N94" s="6" t="s">
        <v>51</v>
      </c>
      <c r="O94" s="5" t="s">
        <v>715</v>
      </c>
      <c r="P94" s="6" t="s">
        <v>27</v>
      </c>
      <c r="Q94" s="7">
        <v>2031</v>
      </c>
      <c r="R94" s="8">
        <v>0.59585500000000002</v>
      </c>
      <c r="S94" s="8">
        <v>0.35</v>
      </c>
      <c r="T94" s="9">
        <f t="shared" si="10"/>
        <v>0.945855</v>
      </c>
      <c r="U94" s="8">
        <v>0.05</v>
      </c>
      <c r="V94" s="8">
        <v>9.0000000000000011E-2</v>
      </c>
      <c r="W94" s="8">
        <v>6.8000000000000005E-2</v>
      </c>
      <c r="X94" s="10">
        <v>0.2772</v>
      </c>
      <c r="Y94" s="8">
        <v>5.4144999999999999E-2</v>
      </c>
      <c r="Z94" s="11">
        <v>48213</v>
      </c>
      <c r="AA94" s="12"/>
      <c r="AB94" s="22">
        <f t="shared" si="11"/>
        <v>220800</v>
      </c>
      <c r="AC94" s="22"/>
      <c r="AD94" s="4">
        <v>49.126706335303254</v>
      </c>
      <c r="AE94" s="14">
        <f t="shared" si="12"/>
        <v>0.34229867847898027</v>
      </c>
      <c r="AF94" s="13">
        <f t="shared" si="13"/>
        <v>35.990400000000001</v>
      </c>
      <c r="AG94" s="4">
        <v>163</v>
      </c>
      <c r="AH94" s="4">
        <v>276</v>
      </c>
      <c r="AI94" s="4">
        <v>800</v>
      </c>
      <c r="AJ94" s="4">
        <v>650</v>
      </c>
      <c r="AK94" s="13">
        <f t="shared" si="14"/>
        <v>143.52000000000001</v>
      </c>
      <c r="AL94" s="13">
        <f t="shared" si="9"/>
        <v>85.517109600000012</v>
      </c>
      <c r="AM94" s="20">
        <v>179400</v>
      </c>
      <c r="AN94" s="20">
        <f t="shared" si="15"/>
        <v>44988</v>
      </c>
      <c r="AO94" s="23">
        <f t="shared" si="16"/>
        <v>0.65</v>
      </c>
      <c r="AP94" s="24">
        <f t="shared" si="17"/>
        <v>1.0959959051299162</v>
      </c>
    </row>
    <row r="95" spans="1:42" x14ac:dyDescent="0.3">
      <c r="A95" t="s">
        <v>614</v>
      </c>
      <c r="B95" s="6" t="s">
        <v>343</v>
      </c>
      <c r="C95" s="15" t="s">
        <v>531</v>
      </c>
      <c r="D95" s="5" t="s">
        <v>550</v>
      </c>
      <c r="E95" s="19">
        <v>1</v>
      </c>
      <c r="F95" s="17"/>
      <c r="G95" s="17"/>
      <c r="H95" s="17"/>
      <c r="I95" s="17"/>
      <c r="J95" s="16">
        <v>230</v>
      </c>
      <c r="K95" s="5" t="s">
        <v>119</v>
      </c>
      <c r="L95" s="6" t="s">
        <v>132</v>
      </c>
      <c r="M95" s="104"/>
      <c r="N95" s="6" t="s">
        <v>52</v>
      </c>
      <c r="O95" s="5" t="s">
        <v>715</v>
      </c>
      <c r="P95" s="6" t="s">
        <v>27</v>
      </c>
      <c r="Q95" s="7">
        <v>2033</v>
      </c>
      <c r="R95" s="8">
        <v>0.59585500000000002</v>
      </c>
      <c r="S95" s="8">
        <v>0.35</v>
      </c>
      <c r="T95" s="9">
        <f t="shared" si="10"/>
        <v>0.945855</v>
      </c>
      <c r="U95" s="8">
        <v>0.05</v>
      </c>
      <c r="V95" s="8">
        <v>9.0000000000000011E-2</v>
      </c>
      <c r="W95" s="8">
        <v>6.8000000000000005E-2</v>
      </c>
      <c r="X95" s="10">
        <v>0.2772</v>
      </c>
      <c r="Y95" s="8">
        <v>5.4144999999999999E-2</v>
      </c>
      <c r="Z95" s="11">
        <v>48944</v>
      </c>
      <c r="AA95" s="12"/>
      <c r="AB95" s="22">
        <f t="shared" si="11"/>
        <v>220800</v>
      </c>
      <c r="AC95" s="22"/>
      <c r="AD95" s="4">
        <v>52.625755994035231</v>
      </c>
      <c r="AE95" s="14">
        <f t="shared" si="12"/>
        <v>0.36667890185364566</v>
      </c>
      <c r="AF95" s="13">
        <f t="shared" si="13"/>
        <v>35.990400000000001</v>
      </c>
      <c r="AG95" s="4">
        <v>163</v>
      </c>
      <c r="AH95" s="4">
        <v>276</v>
      </c>
      <c r="AI95" s="4">
        <v>800</v>
      </c>
      <c r="AJ95" s="4">
        <v>650</v>
      </c>
      <c r="AK95" s="13">
        <f t="shared" si="14"/>
        <v>143.52000000000001</v>
      </c>
      <c r="AL95" s="13">
        <f t="shared" si="9"/>
        <v>85.517109600000012</v>
      </c>
      <c r="AM95" s="20">
        <v>179400</v>
      </c>
      <c r="AN95" s="20">
        <f t="shared" si="15"/>
        <v>44988</v>
      </c>
      <c r="AO95" s="23">
        <f t="shared" si="16"/>
        <v>0.65</v>
      </c>
      <c r="AP95" s="24">
        <f t="shared" si="17"/>
        <v>1.0527200029561115</v>
      </c>
    </row>
    <row r="96" spans="1:42" x14ac:dyDescent="0.3">
      <c r="A96" t="s">
        <v>615</v>
      </c>
      <c r="B96" s="6" t="s">
        <v>344</v>
      </c>
      <c r="C96" s="15" t="s">
        <v>530</v>
      </c>
      <c r="D96" s="5" t="s">
        <v>550</v>
      </c>
      <c r="E96" s="19">
        <v>1</v>
      </c>
      <c r="F96" s="17"/>
      <c r="G96" s="17"/>
      <c r="H96" s="17"/>
      <c r="I96" s="17"/>
      <c r="J96" s="16">
        <v>231</v>
      </c>
      <c r="K96" s="5" t="s">
        <v>119</v>
      </c>
      <c r="L96" s="6" t="s">
        <v>134</v>
      </c>
      <c r="M96" s="104">
        <v>6273440.5999999996</v>
      </c>
      <c r="N96" s="6" t="s">
        <v>135</v>
      </c>
      <c r="O96" s="5" t="s">
        <v>715</v>
      </c>
      <c r="P96" s="6" t="s">
        <v>80</v>
      </c>
      <c r="Q96" s="7">
        <v>2027</v>
      </c>
      <c r="R96" s="8">
        <v>0.57336200000000004</v>
      </c>
      <c r="S96" s="8">
        <v>0.1399999999999999</v>
      </c>
      <c r="T96" s="9">
        <f t="shared" si="10"/>
        <v>0.71336199999999994</v>
      </c>
      <c r="U96" s="8">
        <v>0.05</v>
      </c>
      <c r="V96" s="8">
        <v>0</v>
      </c>
      <c r="W96" s="8">
        <v>6.8000000000000005E-2</v>
      </c>
      <c r="X96" s="10">
        <v>0.12347999999999991</v>
      </c>
      <c r="Y96" s="8">
        <v>0.28663800000000006</v>
      </c>
      <c r="Z96" s="11">
        <v>46660</v>
      </c>
      <c r="AA96" s="12"/>
      <c r="AB96" s="22">
        <f t="shared" si="11"/>
        <v>135500</v>
      </c>
      <c r="AC96" s="22"/>
      <c r="AD96" s="4">
        <v>19.805198453742225</v>
      </c>
      <c r="AE96" s="14">
        <f t="shared" si="12"/>
        <v>0.13287620566079988</v>
      </c>
      <c r="AF96" s="13">
        <f t="shared" si="13"/>
        <v>40.649999999999991</v>
      </c>
      <c r="AG96" s="4">
        <v>300</v>
      </c>
      <c r="AH96" s="4">
        <v>180.18617021276594</v>
      </c>
      <c r="AI96" s="4">
        <v>752</v>
      </c>
      <c r="AJ96" s="4">
        <v>1100</v>
      </c>
      <c r="AK96" s="13">
        <f t="shared" si="14"/>
        <v>149.05000000000001</v>
      </c>
      <c r="AL96" s="13">
        <f t="shared" si="9"/>
        <v>85.459606100000016</v>
      </c>
      <c r="AM96" s="20">
        <v>198204.78723404254</v>
      </c>
      <c r="AN96" s="20">
        <f t="shared" si="15"/>
        <v>54055.851063829781</v>
      </c>
      <c r="AO96" s="23">
        <f t="shared" si="16"/>
        <v>0.8600000000000001</v>
      </c>
      <c r="AP96" s="24">
        <f t="shared" si="17"/>
        <v>2.1202973983797322</v>
      </c>
    </row>
    <row r="97" spans="1:42" x14ac:dyDescent="0.3">
      <c r="A97" t="s">
        <v>616</v>
      </c>
      <c r="B97" s="6" t="s">
        <v>345</v>
      </c>
      <c r="C97" s="15" t="s">
        <v>530</v>
      </c>
      <c r="D97" s="5" t="s">
        <v>550</v>
      </c>
      <c r="E97" s="19">
        <v>1</v>
      </c>
      <c r="F97" s="17"/>
      <c r="G97" s="17"/>
      <c r="H97" s="17"/>
      <c r="I97" s="17"/>
      <c r="J97" s="16">
        <v>232</v>
      </c>
      <c r="K97" s="5" t="s">
        <v>119</v>
      </c>
      <c r="L97" s="6" t="s">
        <v>134</v>
      </c>
      <c r="M97" s="104">
        <v>6273440.5999999996</v>
      </c>
      <c r="N97" s="6" t="s">
        <v>136</v>
      </c>
      <c r="O97" s="5" t="s">
        <v>715</v>
      </c>
      <c r="P97" s="6" t="s">
        <v>27</v>
      </c>
      <c r="Q97" s="7">
        <v>2029</v>
      </c>
      <c r="R97" s="8">
        <v>0.57336200000000004</v>
      </c>
      <c r="S97" s="8">
        <v>0.1399999999999999</v>
      </c>
      <c r="T97" s="9">
        <f t="shared" si="10"/>
        <v>0.71336199999999994</v>
      </c>
      <c r="U97" s="8">
        <v>0.05</v>
      </c>
      <c r="V97" s="8">
        <v>0</v>
      </c>
      <c r="W97" s="8">
        <v>6.8000000000000005E-2</v>
      </c>
      <c r="X97" s="10">
        <v>0.12347999999999991</v>
      </c>
      <c r="Y97" s="8">
        <v>0.28663800000000006</v>
      </c>
      <c r="Z97" s="11">
        <v>47391</v>
      </c>
      <c r="AA97" s="12"/>
      <c r="AB97" s="22">
        <f t="shared" si="11"/>
        <v>95400</v>
      </c>
      <c r="AC97" s="22"/>
      <c r="AD97" s="4">
        <v>8.147559539530608</v>
      </c>
      <c r="AE97" s="14">
        <f t="shared" si="12"/>
        <v>0.14234031340899034</v>
      </c>
      <c r="AF97" s="13">
        <f t="shared" si="13"/>
        <v>15.5502</v>
      </c>
      <c r="AG97" s="4">
        <v>163</v>
      </c>
      <c r="AH97" s="4">
        <v>180</v>
      </c>
      <c r="AI97" s="4">
        <v>530</v>
      </c>
      <c r="AJ97" s="4">
        <v>600</v>
      </c>
      <c r="AK97" s="13">
        <f t="shared" si="14"/>
        <v>57.24</v>
      </c>
      <c r="AL97" s="13">
        <f t="shared" si="9"/>
        <v>32.819240880000002</v>
      </c>
      <c r="AM97" s="20">
        <v>108000</v>
      </c>
      <c r="AN97" s="20">
        <f t="shared" si="15"/>
        <v>29340</v>
      </c>
      <c r="AO97" s="23">
        <f t="shared" si="16"/>
        <v>0.8600000000000001</v>
      </c>
      <c r="AP97" s="24">
        <f t="shared" si="17"/>
        <v>2.0772596632135061</v>
      </c>
    </row>
    <row r="98" spans="1:42" x14ac:dyDescent="0.3">
      <c r="A98" t="s">
        <v>618</v>
      </c>
      <c r="B98" s="6" t="s">
        <v>346</v>
      </c>
      <c r="C98" s="15" t="s">
        <v>529</v>
      </c>
      <c r="D98" s="5" t="s">
        <v>550</v>
      </c>
      <c r="E98" s="19">
        <v>1</v>
      </c>
      <c r="F98" s="17"/>
      <c r="G98" s="17"/>
      <c r="H98" s="17"/>
      <c r="I98" s="17"/>
      <c r="J98" s="16">
        <v>233</v>
      </c>
      <c r="K98" s="5" t="s">
        <v>119</v>
      </c>
      <c r="L98" s="6" t="s">
        <v>137</v>
      </c>
      <c r="M98" s="104"/>
      <c r="N98" s="6" t="s">
        <v>138</v>
      </c>
      <c r="O98" s="5" t="s">
        <v>714</v>
      </c>
      <c r="P98" s="6" t="s">
        <v>27</v>
      </c>
      <c r="Q98" s="7">
        <v>2027</v>
      </c>
      <c r="R98" s="8">
        <v>0.46668999999999994</v>
      </c>
      <c r="S98" s="8">
        <v>0.30000000000000004</v>
      </c>
      <c r="T98" s="9">
        <f t="shared" si="10"/>
        <v>0.76668999999999998</v>
      </c>
      <c r="U98" s="8">
        <v>0.05</v>
      </c>
      <c r="V98" s="8">
        <v>9.0000000000000011E-2</v>
      </c>
      <c r="W98" s="8">
        <v>6.8000000000000005E-2</v>
      </c>
      <c r="X98" s="10">
        <v>0.23760000000000003</v>
      </c>
      <c r="Y98" s="8">
        <v>0.23331000000000002</v>
      </c>
      <c r="Z98" s="11">
        <v>46752</v>
      </c>
      <c r="AA98" s="12"/>
      <c r="AB98" s="22">
        <f t="shared" si="11"/>
        <v>83878.720000000001</v>
      </c>
      <c r="AC98" s="22"/>
      <c r="AD98" s="4">
        <v>19.301512283600843</v>
      </c>
      <c r="AE98" s="14">
        <f t="shared" si="12"/>
        <v>0.25568016249600006</v>
      </c>
      <c r="AF98" s="13">
        <f t="shared" si="13"/>
        <v>15.0981696</v>
      </c>
      <c r="AG98" s="4">
        <v>180</v>
      </c>
      <c r="AH98" s="4">
        <v>227.93130434782609</v>
      </c>
      <c r="AI98" s="4">
        <v>368</v>
      </c>
      <c r="AJ98" s="4">
        <v>900</v>
      </c>
      <c r="AK98" s="13">
        <f t="shared" si="14"/>
        <v>75.490848</v>
      </c>
      <c r="AL98" s="13">
        <f t="shared" si="9"/>
        <v>35.230823853119993</v>
      </c>
      <c r="AM98" s="20">
        <v>205138.17391304349</v>
      </c>
      <c r="AN98" s="20">
        <f t="shared" si="15"/>
        <v>41027.634782608693</v>
      </c>
      <c r="AO98" s="23">
        <f t="shared" si="16"/>
        <v>0.7</v>
      </c>
      <c r="AP98" s="24">
        <f t="shared" si="17"/>
        <v>1.5361651825388483</v>
      </c>
    </row>
    <row r="99" spans="1:42" x14ac:dyDescent="0.3">
      <c r="A99" t="s">
        <v>618</v>
      </c>
      <c r="B99" s="6" t="s">
        <v>347</v>
      </c>
      <c r="C99" s="15" t="s">
        <v>529</v>
      </c>
      <c r="D99" s="5" t="s">
        <v>550</v>
      </c>
      <c r="E99" s="19">
        <v>1</v>
      </c>
      <c r="F99" s="17"/>
      <c r="G99" s="17"/>
      <c r="H99" s="17"/>
      <c r="I99" s="17"/>
      <c r="J99" s="16">
        <v>234</v>
      </c>
      <c r="K99" s="5" t="s">
        <v>119</v>
      </c>
      <c r="L99" s="6" t="s">
        <v>137</v>
      </c>
      <c r="M99" s="104"/>
      <c r="N99" s="6" t="s">
        <v>50</v>
      </c>
      <c r="O99" s="5" t="s">
        <v>715</v>
      </c>
      <c r="P99" s="6" t="s">
        <v>27</v>
      </c>
      <c r="Q99" s="7">
        <v>2028</v>
      </c>
      <c r="R99" s="8">
        <v>0.46668999999999994</v>
      </c>
      <c r="S99" s="8">
        <v>0.30000000000000004</v>
      </c>
      <c r="T99" s="9">
        <f t="shared" si="10"/>
        <v>0.76668999999999998</v>
      </c>
      <c r="U99" s="8">
        <v>0.05</v>
      </c>
      <c r="V99" s="8">
        <v>9.0000000000000011E-2</v>
      </c>
      <c r="W99" s="8">
        <v>6.8000000000000005E-2</v>
      </c>
      <c r="X99" s="10">
        <v>0.23760000000000003</v>
      </c>
      <c r="Y99" s="8">
        <v>0.23331000000000002</v>
      </c>
      <c r="Z99" s="11">
        <v>47118</v>
      </c>
      <c r="AA99" s="12"/>
      <c r="AB99" s="22">
        <f t="shared" si="11"/>
        <v>156694.1887</v>
      </c>
      <c r="AC99" s="22"/>
      <c r="AD99" s="4">
        <v>37.319239328408742</v>
      </c>
      <c r="AE99" s="14">
        <f t="shared" si="12"/>
        <v>0.26462896818335996</v>
      </c>
      <c r="AF99" s="13">
        <f t="shared" si="13"/>
        <v>28.204953966000001</v>
      </c>
      <c r="AG99" s="4">
        <v>180</v>
      </c>
      <c r="AH99" s="4">
        <v>234.22150777279521</v>
      </c>
      <c r="AI99" s="4">
        <v>669</v>
      </c>
      <c r="AJ99" s="4">
        <v>900.00000000000011</v>
      </c>
      <c r="AK99" s="13">
        <f t="shared" si="14"/>
        <v>141.02476983000003</v>
      </c>
      <c r="AL99" s="13">
        <f t="shared" si="9"/>
        <v>65.814849831962704</v>
      </c>
      <c r="AM99" s="20">
        <v>210799.3569955157</v>
      </c>
      <c r="AN99" s="20">
        <f t="shared" si="15"/>
        <v>42159.87139910314</v>
      </c>
      <c r="AO99" s="23">
        <f t="shared" si="16"/>
        <v>0.7</v>
      </c>
      <c r="AP99" s="24">
        <f t="shared" si="17"/>
        <v>1.5065784699927574</v>
      </c>
    </row>
    <row r="100" spans="1:42" x14ac:dyDescent="0.3">
      <c r="A100" t="s">
        <v>618</v>
      </c>
      <c r="B100" s="6" t="s">
        <v>348</v>
      </c>
      <c r="C100" s="15" t="s">
        <v>529</v>
      </c>
      <c r="D100" s="5" t="s">
        <v>550</v>
      </c>
      <c r="E100" s="19">
        <v>1</v>
      </c>
      <c r="F100" s="17"/>
      <c r="G100" s="17"/>
      <c r="H100" s="17"/>
      <c r="I100" s="17"/>
      <c r="J100" s="16">
        <v>235</v>
      </c>
      <c r="K100" s="5" t="s">
        <v>119</v>
      </c>
      <c r="L100" s="6" t="s">
        <v>137</v>
      </c>
      <c r="M100" s="104"/>
      <c r="N100" s="6" t="s">
        <v>51</v>
      </c>
      <c r="O100" s="5" t="s">
        <v>715</v>
      </c>
      <c r="P100" s="6" t="s">
        <v>27</v>
      </c>
      <c r="Q100" s="7">
        <v>2030</v>
      </c>
      <c r="R100" s="8">
        <v>0.46668999999999994</v>
      </c>
      <c r="S100" s="8">
        <v>0.30000000000000004</v>
      </c>
      <c r="T100" s="9">
        <f t="shared" si="10"/>
        <v>0.76668999999999998</v>
      </c>
      <c r="U100" s="8">
        <v>0.05</v>
      </c>
      <c r="V100" s="8">
        <v>9.0000000000000011E-2</v>
      </c>
      <c r="W100" s="8">
        <v>6.8000000000000005E-2</v>
      </c>
      <c r="X100" s="10">
        <v>0.23760000000000003</v>
      </c>
      <c r="Y100" s="8">
        <v>0.23331000000000002</v>
      </c>
      <c r="Z100" s="11">
        <v>47848</v>
      </c>
      <c r="AA100" s="12"/>
      <c r="AB100" s="22">
        <f t="shared" si="11"/>
        <v>156694.1887</v>
      </c>
      <c r="AC100" s="22"/>
      <c r="AD100" s="4">
        <v>39.977302149574641</v>
      </c>
      <c r="AE100" s="14">
        <f t="shared" si="12"/>
        <v>0.28347716644221971</v>
      </c>
      <c r="AF100" s="13">
        <f t="shared" si="13"/>
        <v>28.204953966000001</v>
      </c>
      <c r="AG100" s="4">
        <v>180</v>
      </c>
      <c r="AH100" s="4">
        <v>234.22150777279521</v>
      </c>
      <c r="AI100" s="4">
        <v>669</v>
      </c>
      <c r="AJ100" s="4">
        <v>900.00000000000011</v>
      </c>
      <c r="AK100" s="13">
        <f t="shared" si="14"/>
        <v>141.02476983000003</v>
      </c>
      <c r="AL100" s="13">
        <f t="shared" si="9"/>
        <v>65.814849831962704</v>
      </c>
      <c r="AM100" s="20">
        <v>210799.3569955157</v>
      </c>
      <c r="AN100" s="20">
        <f t="shared" si="15"/>
        <v>42159.87139910314</v>
      </c>
      <c r="AO100" s="23">
        <f t="shared" si="16"/>
        <v>0.7</v>
      </c>
      <c r="AP100" s="24">
        <f t="shared" si="17"/>
        <v>1.4478450040383797</v>
      </c>
    </row>
    <row r="101" spans="1:42" x14ac:dyDescent="0.3">
      <c r="A101" t="s">
        <v>617</v>
      </c>
      <c r="B101" s="6" t="s">
        <v>349</v>
      </c>
      <c r="C101" s="15" t="s">
        <v>529</v>
      </c>
      <c r="D101" s="5" t="s">
        <v>550</v>
      </c>
      <c r="E101" s="19">
        <v>1</v>
      </c>
      <c r="F101" s="17"/>
      <c r="G101" s="17"/>
      <c r="H101" s="17"/>
      <c r="I101" s="17"/>
      <c r="J101" s="16">
        <v>236</v>
      </c>
      <c r="K101" s="5" t="s">
        <v>119</v>
      </c>
      <c r="L101" s="6" t="s">
        <v>137</v>
      </c>
      <c r="M101" s="104"/>
      <c r="N101" s="6" t="s">
        <v>121</v>
      </c>
      <c r="O101" s="5" t="s">
        <v>715</v>
      </c>
      <c r="P101" s="6" t="s">
        <v>27</v>
      </c>
      <c r="Q101" s="7">
        <v>2029</v>
      </c>
      <c r="R101" s="8">
        <v>0.59585500000000002</v>
      </c>
      <c r="S101" s="8">
        <v>0.35</v>
      </c>
      <c r="T101" s="9">
        <f t="shared" si="10"/>
        <v>0.945855</v>
      </c>
      <c r="U101" s="8">
        <v>0.05</v>
      </c>
      <c r="V101" s="8">
        <v>9.0000000000000011E-2</v>
      </c>
      <c r="W101" s="8">
        <v>6.8000000000000005E-2</v>
      </c>
      <c r="X101" s="10">
        <v>0.2772</v>
      </c>
      <c r="Y101" s="8">
        <v>5.4144999999999999E-2</v>
      </c>
      <c r="Z101" s="11">
        <v>47483</v>
      </c>
      <c r="AA101" s="12"/>
      <c r="AB101" s="22">
        <f t="shared" si="11"/>
        <v>183738</v>
      </c>
      <c r="AC101" s="22"/>
      <c r="AD101" s="4">
        <v>35.226926884475752</v>
      </c>
      <c r="AE101" s="14">
        <f t="shared" si="12"/>
        <v>0.31953947908140712</v>
      </c>
      <c r="AF101" s="13">
        <f t="shared" si="13"/>
        <v>29.949293999999998</v>
      </c>
      <c r="AG101" s="4">
        <v>163</v>
      </c>
      <c r="AH101" s="4">
        <v>271</v>
      </c>
      <c r="AI101" s="4">
        <v>678</v>
      </c>
      <c r="AJ101" s="4">
        <v>600</v>
      </c>
      <c r="AK101" s="13">
        <f t="shared" si="14"/>
        <v>110.2428</v>
      </c>
      <c r="AL101" s="13">
        <f t="shared" si="9"/>
        <v>65.68872359400001</v>
      </c>
      <c r="AM101" s="20">
        <v>162600</v>
      </c>
      <c r="AN101" s="20">
        <f t="shared" si="15"/>
        <v>44173</v>
      </c>
      <c r="AO101" s="23">
        <f t="shared" si="16"/>
        <v>0.65</v>
      </c>
      <c r="AP101" s="24">
        <f t="shared" si="17"/>
        <v>1.0994472988394468</v>
      </c>
    </row>
    <row r="102" spans="1:42" x14ac:dyDescent="0.3">
      <c r="A102" t="s">
        <v>617</v>
      </c>
      <c r="B102" s="6" t="s">
        <v>350</v>
      </c>
      <c r="C102" s="15" t="s">
        <v>529</v>
      </c>
      <c r="D102" s="5" t="s">
        <v>550</v>
      </c>
      <c r="E102" s="19">
        <v>1</v>
      </c>
      <c r="F102" s="17"/>
      <c r="G102" s="17"/>
      <c r="H102" s="17"/>
      <c r="I102" s="17"/>
      <c r="J102" s="16">
        <v>237</v>
      </c>
      <c r="K102" s="5" t="s">
        <v>119</v>
      </c>
      <c r="L102" s="6" t="s">
        <v>137</v>
      </c>
      <c r="M102" s="104"/>
      <c r="N102" s="6" t="s">
        <v>139</v>
      </c>
      <c r="O102" s="5" t="s">
        <v>715</v>
      </c>
      <c r="P102" s="6" t="s">
        <v>27</v>
      </c>
      <c r="Q102" s="7">
        <v>2031</v>
      </c>
      <c r="R102" s="8">
        <v>0.59585500000000002</v>
      </c>
      <c r="S102" s="8">
        <v>0.35</v>
      </c>
      <c r="T102" s="9">
        <f t="shared" si="10"/>
        <v>0.945855</v>
      </c>
      <c r="U102" s="8">
        <v>0.05</v>
      </c>
      <c r="V102" s="8">
        <v>9.0000000000000011E-2</v>
      </c>
      <c r="W102" s="8">
        <v>6.8000000000000005E-2</v>
      </c>
      <c r="X102" s="10">
        <v>0.2772</v>
      </c>
      <c r="Y102" s="8">
        <v>5.4144999999999999E-2</v>
      </c>
      <c r="Z102" s="11">
        <v>48213</v>
      </c>
      <c r="AA102" s="12"/>
      <c r="AB102" s="22">
        <f t="shared" si="11"/>
        <v>260596</v>
      </c>
      <c r="AC102" s="22"/>
      <c r="AD102" s="4">
        <v>53.52099985014501</v>
      </c>
      <c r="AE102" s="14">
        <f t="shared" si="12"/>
        <v>0.34229867847898032</v>
      </c>
      <c r="AF102" s="13">
        <f t="shared" si="13"/>
        <v>42.477148</v>
      </c>
      <c r="AG102" s="4">
        <v>163</v>
      </c>
      <c r="AH102" s="4">
        <v>227</v>
      </c>
      <c r="AI102" s="4">
        <v>1148</v>
      </c>
      <c r="AJ102" s="4">
        <v>600</v>
      </c>
      <c r="AK102" s="13">
        <f t="shared" si="14"/>
        <v>156.35759999999999</v>
      </c>
      <c r="AL102" s="13">
        <f t="shared" si="9"/>
        <v>93.166457747999999</v>
      </c>
      <c r="AM102" s="20">
        <v>136200</v>
      </c>
      <c r="AN102" s="20">
        <f t="shared" si="15"/>
        <v>37001</v>
      </c>
      <c r="AO102" s="23">
        <f t="shared" si="16"/>
        <v>0.65</v>
      </c>
      <c r="AP102" s="24">
        <f t="shared" si="17"/>
        <v>1.0586916755795146</v>
      </c>
    </row>
    <row r="103" spans="1:42" x14ac:dyDescent="0.3">
      <c r="A103" t="s">
        <v>619</v>
      </c>
      <c r="B103" s="6" t="s">
        <v>351</v>
      </c>
      <c r="C103" s="15" t="s">
        <v>528</v>
      </c>
      <c r="D103" s="5" t="s">
        <v>550</v>
      </c>
      <c r="E103" s="19">
        <v>1</v>
      </c>
      <c r="F103" s="17"/>
      <c r="G103" s="17"/>
      <c r="H103" s="17"/>
      <c r="I103" s="17"/>
      <c r="J103" s="16">
        <v>238</v>
      </c>
      <c r="K103" s="5" t="s">
        <v>119</v>
      </c>
      <c r="L103" s="6" t="s">
        <v>140</v>
      </c>
      <c r="M103" s="104"/>
      <c r="N103" s="6" t="s">
        <v>121</v>
      </c>
      <c r="O103" s="5" t="s">
        <v>714</v>
      </c>
      <c r="P103" s="6" t="s">
        <v>27</v>
      </c>
      <c r="Q103" s="7">
        <v>2028</v>
      </c>
      <c r="R103" s="8">
        <v>0.6875</v>
      </c>
      <c r="S103" s="8">
        <v>0.25</v>
      </c>
      <c r="T103" s="9">
        <f t="shared" si="10"/>
        <v>0.9375</v>
      </c>
      <c r="U103" s="8">
        <v>0.05</v>
      </c>
      <c r="V103" s="8">
        <v>0</v>
      </c>
      <c r="W103" s="8">
        <v>6.8000000000000005E-2</v>
      </c>
      <c r="X103" s="10">
        <v>0.2205</v>
      </c>
      <c r="Y103" s="8">
        <v>6.25E-2</v>
      </c>
      <c r="Z103" s="11">
        <v>46934</v>
      </c>
      <c r="AA103" s="12"/>
      <c r="AB103" s="22">
        <f t="shared" si="11"/>
        <v>241875</v>
      </c>
      <c r="AC103" s="22"/>
      <c r="AD103" s="4">
        <v>47.5204462467903</v>
      </c>
      <c r="AE103" s="14">
        <f t="shared" si="12"/>
        <v>0.24558370153379999</v>
      </c>
      <c r="AF103" s="13">
        <f t="shared" si="13"/>
        <v>39.425624999999997</v>
      </c>
      <c r="AG103" s="4">
        <v>163</v>
      </c>
      <c r="AH103" s="4">
        <v>250.12926577042398</v>
      </c>
      <c r="AI103" s="4">
        <v>967</v>
      </c>
      <c r="AJ103" s="4">
        <v>800</v>
      </c>
      <c r="AK103" s="13">
        <f t="shared" si="14"/>
        <v>193.5</v>
      </c>
      <c r="AL103" s="13">
        <f t="shared" si="9"/>
        <v>133.03125</v>
      </c>
      <c r="AM103" s="20">
        <v>200103.41261633919</v>
      </c>
      <c r="AN103" s="20">
        <f t="shared" si="15"/>
        <v>40771.070320579107</v>
      </c>
      <c r="AO103" s="23">
        <f t="shared" si="16"/>
        <v>0.75</v>
      </c>
      <c r="AP103" s="24">
        <f t="shared" si="17"/>
        <v>1.6691380981214541</v>
      </c>
    </row>
    <row r="104" spans="1:42" x14ac:dyDescent="0.3">
      <c r="A104" t="s">
        <v>619</v>
      </c>
      <c r="B104" s="6" t="s">
        <v>352</v>
      </c>
      <c r="C104" s="15" t="s">
        <v>528</v>
      </c>
      <c r="D104" s="5" t="s">
        <v>550</v>
      </c>
      <c r="E104" s="19">
        <v>1</v>
      </c>
      <c r="F104" s="17"/>
      <c r="G104" s="17"/>
      <c r="H104" s="17"/>
      <c r="I104" s="17"/>
      <c r="J104" s="16">
        <v>239</v>
      </c>
      <c r="K104" s="5" t="s">
        <v>119</v>
      </c>
      <c r="L104" s="6" t="s">
        <v>140</v>
      </c>
      <c r="M104" s="104"/>
      <c r="N104" s="6" t="s">
        <v>139</v>
      </c>
      <c r="O104" s="5" t="s">
        <v>714</v>
      </c>
      <c r="P104" s="6" t="s">
        <v>27</v>
      </c>
      <c r="Q104" s="7">
        <v>2030</v>
      </c>
      <c r="R104" s="8">
        <v>0.6875</v>
      </c>
      <c r="S104" s="8">
        <v>0.25</v>
      </c>
      <c r="T104" s="9">
        <f t="shared" si="10"/>
        <v>0.9375</v>
      </c>
      <c r="U104" s="8">
        <v>0.05</v>
      </c>
      <c r="V104" s="8">
        <v>0</v>
      </c>
      <c r="W104" s="8">
        <v>6.8000000000000005E-2</v>
      </c>
      <c r="X104" s="10">
        <v>0.2205</v>
      </c>
      <c r="Y104" s="8">
        <v>6.25E-2</v>
      </c>
      <c r="Z104" s="11">
        <v>47664</v>
      </c>
      <c r="AA104" s="12"/>
      <c r="AB104" s="22">
        <f t="shared" si="11"/>
        <v>241875</v>
      </c>
      <c r="AC104" s="22"/>
      <c r="AD104" s="4">
        <v>50.905090030717922</v>
      </c>
      <c r="AE104" s="14">
        <f t="shared" si="12"/>
        <v>0.2630754006755448</v>
      </c>
      <c r="AF104" s="13">
        <f t="shared" si="13"/>
        <v>39.425624999999997</v>
      </c>
      <c r="AG104" s="4">
        <v>163</v>
      </c>
      <c r="AH104" s="4">
        <v>249.87086776859505</v>
      </c>
      <c r="AI104" s="4">
        <v>968</v>
      </c>
      <c r="AJ104" s="4">
        <v>800</v>
      </c>
      <c r="AK104" s="13">
        <f t="shared" si="14"/>
        <v>193.5</v>
      </c>
      <c r="AL104" s="13">
        <f t="shared" si="9"/>
        <v>133.03125</v>
      </c>
      <c r="AM104" s="20">
        <v>199896.69421487604</v>
      </c>
      <c r="AN104" s="20">
        <f t="shared" si="15"/>
        <v>40728.951446280989</v>
      </c>
      <c r="AO104" s="23">
        <f t="shared" si="16"/>
        <v>0.75</v>
      </c>
      <c r="AP104" s="24">
        <f t="shared" si="17"/>
        <v>1.6065963825333243</v>
      </c>
    </row>
    <row r="105" spans="1:42" x14ac:dyDescent="0.3">
      <c r="A105" t="s">
        <v>620</v>
      </c>
      <c r="B105" s="6" t="s">
        <v>353</v>
      </c>
      <c r="C105" s="15" t="s">
        <v>527</v>
      </c>
      <c r="D105" s="5" t="s">
        <v>550</v>
      </c>
      <c r="E105" s="19">
        <v>1</v>
      </c>
      <c r="F105" s="17"/>
      <c r="G105" s="17"/>
      <c r="H105" s="17"/>
      <c r="I105" s="17"/>
      <c r="J105" s="16">
        <v>240</v>
      </c>
      <c r="K105" s="5" t="s">
        <v>119</v>
      </c>
      <c r="L105" s="6" t="s">
        <v>141</v>
      </c>
      <c r="M105" s="104"/>
      <c r="N105" s="6" t="s">
        <v>138</v>
      </c>
      <c r="O105" s="5" t="s">
        <v>714</v>
      </c>
      <c r="P105" s="6" t="s">
        <v>27</v>
      </c>
      <c r="Q105" s="7">
        <v>2029</v>
      </c>
      <c r="R105" s="8">
        <v>0.55000000000000004</v>
      </c>
      <c r="S105" s="8">
        <v>0.40001999999999993</v>
      </c>
      <c r="T105" s="9">
        <f t="shared" si="10"/>
        <v>0.95001999999999998</v>
      </c>
      <c r="U105" s="8">
        <v>0.05</v>
      </c>
      <c r="V105" s="8">
        <v>9.0000000000000011E-2</v>
      </c>
      <c r="W105" s="8">
        <v>6.8000000000000005E-2</v>
      </c>
      <c r="X105" s="10">
        <v>0.31681583999999996</v>
      </c>
      <c r="Y105" s="8">
        <v>4.9980000000000024E-2</v>
      </c>
      <c r="Z105" s="11">
        <v>47482</v>
      </c>
      <c r="AA105" s="12"/>
      <c r="AB105" s="22">
        <f t="shared" si="11"/>
        <v>218006.26</v>
      </c>
      <c r="AC105" s="22"/>
      <c r="AD105" s="4">
        <v>43.789485040540569</v>
      </c>
      <c r="AE105" s="14">
        <f t="shared" si="12"/>
        <v>0.36520623549184128</v>
      </c>
      <c r="AF105" s="13">
        <f t="shared" si="13"/>
        <v>35.535020380000006</v>
      </c>
      <c r="AG105" s="4">
        <v>163</v>
      </c>
      <c r="AH105" s="4">
        <v>227.3266527632951</v>
      </c>
      <c r="AI105" s="4">
        <v>959</v>
      </c>
      <c r="AJ105" s="4">
        <v>550</v>
      </c>
      <c r="AK105" s="13">
        <f t="shared" si="14"/>
        <v>119.903443</v>
      </c>
      <c r="AL105" s="13">
        <f t="shared" si="9"/>
        <v>65.946893650000007</v>
      </c>
      <c r="AM105" s="20">
        <v>125029.6590198123</v>
      </c>
      <c r="AN105" s="20">
        <f t="shared" si="15"/>
        <v>37054.244400417105</v>
      </c>
      <c r="AO105" s="23">
        <f t="shared" si="16"/>
        <v>0.59998000000000007</v>
      </c>
      <c r="AP105" s="24">
        <f t="shared" si="17"/>
        <v>0.90690345120653837</v>
      </c>
    </row>
    <row r="106" spans="1:42" x14ac:dyDescent="0.3">
      <c r="A106" t="s">
        <v>621</v>
      </c>
      <c r="B106" s="6" t="s">
        <v>354</v>
      </c>
      <c r="C106" s="15" t="s">
        <v>527</v>
      </c>
      <c r="D106" s="5" t="s">
        <v>550</v>
      </c>
      <c r="E106" s="19">
        <v>1</v>
      </c>
      <c r="F106" s="17"/>
      <c r="G106" s="17"/>
      <c r="H106" s="17"/>
      <c r="I106" s="17"/>
      <c r="J106" s="16">
        <v>241</v>
      </c>
      <c r="K106" s="5" t="s">
        <v>119</v>
      </c>
      <c r="L106" s="6" t="s">
        <v>141</v>
      </c>
      <c r="M106" s="104"/>
      <c r="N106" s="6" t="s">
        <v>50</v>
      </c>
      <c r="O106" s="5" t="s">
        <v>714</v>
      </c>
      <c r="P106" s="6" t="s">
        <v>27</v>
      </c>
      <c r="Q106" s="7">
        <v>2031</v>
      </c>
      <c r="R106" s="8">
        <v>0.55000000000000004</v>
      </c>
      <c r="S106" s="8">
        <v>0.40001999999999993</v>
      </c>
      <c r="T106" s="9">
        <f t="shared" si="10"/>
        <v>0.95001999999999998</v>
      </c>
      <c r="U106" s="8">
        <v>0.05</v>
      </c>
      <c r="V106" s="8">
        <v>9.0000000000000011E-2</v>
      </c>
      <c r="W106" s="8">
        <v>6.8000000000000005E-2</v>
      </c>
      <c r="X106" s="10">
        <v>0.31681583999999996</v>
      </c>
      <c r="Y106" s="8">
        <v>4.9980000000000024E-2</v>
      </c>
      <c r="Z106" s="11">
        <v>48212</v>
      </c>
      <c r="AA106" s="12"/>
      <c r="AB106" s="22">
        <f t="shared" si="11"/>
        <v>268822.81</v>
      </c>
      <c r="AC106" s="22"/>
      <c r="AD106" s="4">
        <v>57.842584481085737</v>
      </c>
      <c r="AE106" s="14">
        <f t="shared" si="12"/>
        <v>0.39121804961474771</v>
      </c>
      <c r="AF106" s="13">
        <f t="shared" si="13"/>
        <v>43.818118030000001</v>
      </c>
      <c r="AG106" s="4">
        <v>163</v>
      </c>
      <c r="AH106" s="4">
        <v>218.73296175752645</v>
      </c>
      <c r="AI106" s="4">
        <v>1229</v>
      </c>
      <c r="AJ106" s="4">
        <v>550</v>
      </c>
      <c r="AK106" s="13">
        <f t="shared" si="14"/>
        <v>147.85254549999999</v>
      </c>
      <c r="AL106" s="13">
        <f t="shared" si="9"/>
        <v>81.318900025000005</v>
      </c>
      <c r="AM106" s="20">
        <v>120303.12896663955</v>
      </c>
      <c r="AN106" s="20">
        <f t="shared" si="15"/>
        <v>35653.472766476814</v>
      </c>
      <c r="AO106" s="23">
        <f t="shared" si="16"/>
        <v>0.59998000000000007</v>
      </c>
      <c r="AP106" s="24">
        <f t="shared" si="17"/>
        <v>0.87259450365707092</v>
      </c>
    </row>
    <row r="107" spans="1:42" x14ac:dyDescent="0.3">
      <c r="A107" t="s">
        <v>622</v>
      </c>
      <c r="B107" s="6" t="s">
        <v>355</v>
      </c>
      <c r="C107" s="15" t="s">
        <v>526</v>
      </c>
      <c r="D107" s="5" t="s">
        <v>550</v>
      </c>
      <c r="E107" s="19">
        <v>1</v>
      </c>
      <c r="F107" s="17"/>
      <c r="G107" s="17"/>
      <c r="H107" s="17"/>
      <c r="I107" s="17"/>
      <c r="J107" s="16">
        <v>242</v>
      </c>
      <c r="K107" s="5" t="s">
        <v>119</v>
      </c>
      <c r="L107" s="6" t="s">
        <v>141</v>
      </c>
      <c r="M107" s="104"/>
      <c r="N107" s="6" t="s">
        <v>142</v>
      </c>
      <c r="O107" s="5" t="s">
        <v>715</v>
      </c>
      <c r="P107" s="6" t="s">
        <v>27</v>
      </c>
      <c r="Q107" s="7">
        <v>2033</v>
      </c>
      <c r="R107" s="8">
        <v>0.55000000000000004</v>
      </c>
      <c r="S107" s="8">
        <v>0.40001999999999993</v>
      </c>
      <c r="T107" s="9">
        <f t="shared" si="10"/>
        <v>0.95001999999999998</v>
      </c>
      <c r="U107" s="8">
        <v>0.05</v>
      </c>
      <c r="V107" s="8">
        <v>9.0000000000000011E-2</v>
      </c>
      <c r="W107" s="8">
        <v>6.8000000000000005E-2</v>
      </c>
      <c r="X107" s="10">
        <v>0.31681583999999996</v>
      </c>
      <c r="Y107" s="8">
        <v>4.9980000000000024E-2</v>
      </c>
      <c r="Z107" s="11">
        <v>48943</v>
      </c>
      <c r="AA107" s="12"/>
      <c r="AB107" s="22">
        <f t="shared" si="11"/>
        <v>315000</v>
      </c>
      <c r="AC107" s="22"/>
      <c r="AD107" s="4">
        <v>72.606052688150186</v>
      </c>
      <c r="AE107" s="14">
        <f t="shared" si="12"/>
        <v>0.41908255519855808</v>
      </c>
      <c r="AF107" s="13">
        <f t="shared" si="13"/>
        <v>51.344999999999999</v>
      </c>
      <c r="AG107" s="4">
        <v>163</v>
      </c>
      <c r="AH107" s="4">
        <v>210</v>
      </c>
      <c r="AI107" s="4">
        <v>1500</v>
      </c>
      <c r="AJ107" s="4">
        <v>550</v>
      </c>
      <c r="AK107" s="13">
        <f t="shared" si="14"/>
        <v>173.25</v>
      </c>
      <c r="AL107" s="13">
        <f t="shared" si="9"/>
        <v>95.287500000000009</v>
      </c>
      <c r="AM107" s="20">
        <v>115500</v>
      </c>
      <c r="AN107" s="20">
        <f t="shared" si="15"/>
        <v>34230</v>
      </c>
      <c r="AO107" s="23">
        <f t="shared" si="16"/>
        <v>0.59998000000000007</v>
      </c>
      <c r="AP107" s="24">
        <f t="shared" si="17"/>
        <v>0.83860953776262182</v>
      </c>
    </row>
    <row r="108" spans="1:42" x14ac:dyDescent="0.3">
      <c r="A108" t="s">
        <v>622</v>
      </c>
      <c r="B108" s="6" t="s">
        <v>356</v>
      </c>
      <c r="C108" s="15" t="s">
        <v>526</v>
      </c>
      <c r="D108" s="5" t="s">
        <v>550</v>
      </c>
      <c r="E108" s="19">
        <v>1</v>
      </c>
      <c r="F108" s="17"/>
      <c r="G108" s="17"/>
      <c r="H108" s="17"/>
      <c r="I108" s="17"/>
      <c r="J108" s="16">
        <v>243</v>
      </c>
      <c r="K108" s="5" t="s">
        <v>119</v>
      </c>
      <c r="L108" s="6" t="s">
        <v>141</v>
      </c>
      <c r="M108" s="104"/>
      <c r="N108" s="6" t="s">
        <v>143</v>
      </c>
      <c r="O108" s="5" t="s">
        <v>715</v>
      </c>
      <c r="P108" s="6" t="s">
        <v>27</v>
      </c>
      <c r="Q108" s="7">
        <v>2035</v>
      </c>
      <c r="R108" s="8">
        <v>0.55000000000000004</v>
      </c>
      <c r="S108" s="8">
        <v>0.40001999999999993</v>
      </c>
      <c r="T108" s="9">
        <f t="shared" si="10"/>
        <v>0.95001999999999998</v>
      </c>
      <c r="U108" s="8">
        <v>0.05</v>
      </c>
      <c r="V108" s="8">
        <v>9.0000000000000011E-2</v>
      </c>
      <c r="W108" s="8">
        <v>6.8000000000000005E-2</v>
      </c>
      <c r="X108" s="10">
        <v>0.31681583999999996</v>
      </c>
      <c r="Y108" s="8">
        <v>4.9980000000000024E-2</v>
      </c>
      <c r="Z108" s="11">
        <v>49673</v>
      </c>
      <c r="AA108" s="12"/>
      <c r="AB108" s="22">
        <f t="shared" si="11"/>
        <v>315000</v>
      </c>
      <c r="AC108" s="22"/>
      <c r="AD108" s="4">
        <v>77.777418790863663</v>
      </c>
      <c r="AE108" s="14">
        <f t="shared" si="12"/>
        <v>0.44893171019257527</v>
      </c>
      <c r="AF108" s="13">
        <f t="shared" si="13"/>
        <v>51.344999999999999</v>
      </c>
      <c r="AG108" s="4">
        <v>163</v>
      </c>
      <c r="AH108" s="4">
        <v>210</v>
      </c>
      <c r="AI108" s="4">
        <v>1500</v>
      </c>
      <c r="AJ108" s="4">
        <v>550</v>
      </c>
      <c r="AK108" s="13">
        <f t="shared" si="14"/>
        <v>173.25</v>
      </c>
      <c r="AL108" s="13">
        <f t="shared" si="9"/>
        <v>95.287500000000009</v>
      </c>
      <c r="AM108" s="20">
        <v>115500</v>
      </c>
      <c r="AN108" s="20">
        <f t="shared" si="15"/>
        <v>34230</v>
      </c>
      <c r="AO108" s="23">
        <f t="shared" si="16"/>
        <v>0.59998000000000007</v>
      </c>
      <c r="AP108" s="24">
        <f t="shared" si="17"/>
        <v>0.80502313984963059</v>
      </c>
    </row>
    <row r="109" spans="1:42" x14ac:dyDescent="0.3">
      <c r="A109" t="s">
        <v>622</v>
      </c>
      <c r="B109" s="6" t="s">
        <v>357</v>
      </c>
      <c r="C109" s="15" t="s">
        <v>526</v>
      </c>
      <c r="D109" s="5" t="s">
        <v>550</v>
      </c>
      <c r="E109" s="19">
        <v>1</v>
      </c>
      <c r="F109" s="17"/>
      <c r="G109" s="17"/>
      <c r="H109" s="17"/>
      <c r="I109" s="17"/>
      <c r="J109" s="16">
        <v>244</v>
      </c>
      <c r="K109" s="5" t="s">
        <v>119</v>
      </c>
      <c r="L109" s="6" t="s">
        <v>141</v>
      </c>
      <c r="M109" s="104"/>
      <c r="N109" s="6" t="s">
        <v>144</v>
      </c>
      <c r="O109" s="5" t="s">
        <v>715</v>
      </c>
      <c r="P109" s="6" t="s">
        <v>27</v>
      </c>
      <c r="Q109" s="7">
        <v>2037</v>
      </c>
      <c r="R109" s="8">
        <v>0.55000000000000004</v>
      </c>
      <c r="S109" s="8">
        <v>0.40001999999999993</v>
      </c>
      <c r="T109" s="9">
        <f t="shared" si="10"/>
        <v>0.95001999999999998</v>
      </c>
      <c r="U109" s="8">
        <v>0.05</v>
      </c>
      <c r="V109" s="8">
        <v>9.0000000000000011E-2</v>
      </c>
      <c r="W109" s="8">
        <v>6.8000000000000005E-2</v>
      </c>
      <c r="X109" s="10">
        <v>0.31681583999999996</v>
      </c>
      <c r="Y109" s="8">
        <v>4.9980000000000024E-2</v>
      </c>
      <c r="Z109" s="11">
        <v>50404</v>
      </c>
      <c r="AA109" s="12"/>
      <c r="AB109" s="22">
        <f t="shared" si="11"/>
        <v>315000</v>
      </c>
      <c r="AC109" s="22"/>
      <c r="AD109" s="4">
        <v>0</v>
      </c>
      <c r="AE109" s="14">
        <f t="shared" si="12"/>
        <v>0</v>
      </c>
      <c r="AF109" s="13">
        <f t="shared" si="13"/>
        <v>51.344999999999999</v>
      </c>
      <c r="AG109" s="4">
        <v>163</v>
      </c>
      <c r="AH109" s="4">
        <v>210</v>
      </c>
      <c r="AI109" s="4">
        <v>1500</v>
      </c>
      <c r="AJ109" s="4">
        <v>550</v>
      </c>
      <c r="AK109" s="13">
        <f t="shared" si="14"/>
        <v>173.25</v>
      </c>
      <c r="AL109" s="13">
        <f t="shared" si="9"/>
        <v>95.287500000000009</v>
      </c>
      <c r="AM109" s="20">
        <v>115500</v>
      </c>
      <c r="AN109" s="20">
        <f t="shared" si="15"/>
        <v>34230</v>
      </c>
      <c r="AO109" s="23">
        <f t="shared" si="16"/>
        <v>0.59998000000000007</v>
      </c>
      <c r="AP109" s="24">
        <f t="shared" si="17"/>
        <v>2.024472392638037</v>
      </c>
    </row>
    <row r="110" spans="1:42" x14ac:dyDescent="0.3">
      <c r="A110" t="s">
        <v>622</v>
      </c>
      <c r="B110" s="6" t="s">
        <v>358</v>
      </c>
      <c r="C110" s="15" t="s">
        <v>526</v>
      </c>
      <c r="D110" s="5" t="s">
        <v>550</v>
      </c>
      <c r="E110" s="19">
        <v>1</v>
      </c>
      <c r="F110" s="17"/>
      <c r="G110" s="17"/>
      <c r="H110" s="17"/>
      <c r="I110" s="17"/>
      <c r="J110" s="16">
        <v>245</v>
      </c>
      <c r="K110" s="5" t="s">
        <v>119</v>
      </c>
      <c r="L110" s="6" t="s">
        <v>141</v>
      </c>
      <c r="M110" s="104"/>
      <c r="N110" s="6" t="s">
        <v>145</v>
      </c>
      <c r="O110" s="5" t="s">
        <v>715</v>
      </c>
      <c r="P110" s="6" t="s">
        <v>27</v>
      </c>
      <c r="Q110" s="7">
        <v>2039</v>
      </c>
      <c r="R110" s="8">
        <v>0.55000000000000004</v>
      </c>
      <c r="S110" s="8">
        <v>0.40001999999999993</v>
      </c>
      <c r="T110" s="9">
        <f t="shared" si="10"/>
        <v>0.95001999999999998</v>
      </c>
      <c r="U110" s="8">
        <v>0.05</v>
      </c>
      <c r="V110" s="8">
        <v>9.0000000000000011E-2</v>
      </c>
      <c r="W110" s="8">
        <v>6.8000000000000005E-2</v>
      </c>
      <c r="X110" s="10">
        <v>0.31681583999999996</v>
      </c>
      <c r="Y110" s="8">
        <v>4.9980000000000024E-2</v>
      </c>
      <c r="Z110" s="11">
        <v>51134</v>
      </c>
      <c r="AA110" s="12"/>
      <c r="AB110" s="22">
        <f t="shared" si="11"/>
        <v>315000</v>
      </c>
      <c r="AC110" s="22"/>
      <c r="AD110" s="4">
        <v>0</v>
      </c>
      <c r="AE110" s="14">
        <f t="shared" si="12"/>
        <v>0</v>
      </c>
      <c r="AF110" s="13">
        <f t="shared" si="13"/>
        <v>51.344999999999999</v>
      </c>
      <c r="AG110" s="4">
        <v>163</v>
      </c>
      <c r="AH110" s="4">
        <v>210</v>
      </c>
      <c r="AI110" s="4">
        <v>1500</v>
      </c>
      <c r="AJ110" s="4">
        <v>550</v>
      </c>
      <c r="AK110" s="13">
        <f t="shared" si="14"/>
        <v>173.25</v>
      </c>
      <c r="AL110" s="13">
        <f t="shared" si="9"/>
        <v>95.287500000000009</v>
      </c>
      <c r="AM110" s="20">
        <v>115500</v>
      </c>
      <c r="AN110" s="20">
        <f t="shared" si="15"/>
        <v>34230</v>
      </c>
      <c r="AO110" s="23">
        <f t="shared" si="16"/>
        <v>0.59998000000000007</v>
      </c>
      <c r="AP110" s="24">
        <f t="shared" si="17"/>
        <v>2.024472392638037</v>
      </c>
    </row>
    <row r="111" spans="1:42" x14ac:dyDescent="0.3">
      <c r="A111" t="s">
        <v>622</v>
      </c>
      <c r="B111" s="6" t="s">
        <v>359</v>
      </c>
      <c r="C111" s="15" t="s">
        <v>526</v>
      </c>
      <c r="D111" s="5" t="s">
        <v>550</v>
      </c>
      <c r="E111" s="19">
        <v>1</v>
      </c>
      <c r="F111" s="17"/>
      <c r="G111" s="17"/>
      <c r="H111" s="17"/>
      <c r="I111" s="17"/>
      <c r="J111" s="16">
        <v>246</v>
      </c>
      <c r="K111" s="5" t="s">
        <v>119</v>
      </c>
      <c r="L111" s="6" t="s">
        <v>141</v>
      </c>
      <c r="M111" s="104"/>
      <c r="N111" s="6" t="s">
        <v>146</v>
      </c>
      <c r="O111" s="5" t="s">
        <v>715</v>
      </c>
      <c r="P111" s="6" t="s">
        <v>27</v>
      </c>
      <c r="Q111" s="7">
        <v>2041</v>
      </c>
      <c r="R111" s="8">
        <v>0.55000000000000004</v>
      </c>
      <c r="S111" s="8">
        <v>0.40001999999999993</v>
      </c>
      <c r="T111" s="9">
        <f t="shared" si="10"/>
        <v>0.95001999999999998</v>
      </c>
      <c r="U111" s="8">
        <v>0.05</v>
      </c>
      <c r="V111" s="8">
        <v>9.0000000000000011E-2</v>
      </c>
      <c r="W111" s="8">
        <v>6.8000000000000005E-2</v>
      </c>
      <c r="X111" s="10">
        <v>0.31681583999999996</v>
      </c>
      <c r="Y111" s="8">
        <v>4.9980000000000024E-2</v>
      </c>
      <c r="Z111" s="11">
        <v>51865</v>
      </c>
      <c r="AA111" s="12"/>
      <c r="AB111" s="22">
        <f t="shared" si="11"/>
        <v>315000</v>
      </c>
      <c r="AC111" s="22"/>
      <c r="AD111" s="4">
        <v>0</v>
      </c>
      <c r="AE111" s="14">
        <f t="shared" si="12"/>
        <v>0</v>
      </c>
      <c r="AF111" s="13">
        <f t="shared" si="13"/>
        <v>51.344999999999999</v>
      </c>
      <c r="AG111" s="4">
        <v>163</v>
      </c>
      <c r="AH111" s="4">
        <v>210</v>
      </c>
      <c r="AI111" s="4">
        <v>1500</v>
      </c>
      <c r="AJ111" s="4">
        <v>550</v>
      </c>
      <c r="AK111" s="13">
        <f t="shared" si="14"/>
        <v>173.25</v>
      </c>
      <c r="AL111" s="13">
        <f t="shared" si="9"/>
        <v>95.287500000000009</v>
      </c>
      <c r="AM111" s="20">
        <v>115500</v>
      </c>
      <c r="AN111" s="20">
        <f t="shared" si="15"/>
        <v>34230</v>
      </c>
      <c r="AO111" s="23">
        <f t="shared" si="16"/>
        <v>0.59998000000000007</v>
      </c>
      <c r="AP111" s="24">
        <f t="shared" si="17"/>
        <v>2.024472392638037</v>
      </c>
    </row>
    <row r="112" spans="1:42" x14ac:dyDescent="0.3">
      <c r="A112" t="s">
        <v>622</v>
      </c>
      <c r="B112" s="6" t="s">
        <v>360</v>
      </c>
      <c r="C112" s="15" t="s">
        <v>526</v>
      </c>
      <c r="D112" s="5" t="s">
        <v>550</v>
      </c>
      <c r="E112" s="19">
        <v>1</v>
      </c>
      <c r="F112" s="17"/>
      <c r="G112" s="17"/>
      <c r="H112" s="17"/>
      <c r="I112" s="17"/>
      <c r="J112" s="16">
        <v>247</v>
      </c>
      <c r="K112" s="5" t="s">
        <v>119</v>
      </c>
      <c r="L112" s="6" t="s">
        <v>141</v>
      </c>
      <c r="M112" s="104"/>
      <c r="N112" s="6" t="s">
        <v>147</v>
      </c>
      <c r="O112" s="5" t="s">
        <v>715</v>
      </c>
      <c r="P112" s="6" t="s">
        <v>27</v>
      </c>
      <c r="Q112" s="7">
        <v>2043</v>
      </c>
      <c r="R112" s="8">
        <v>0.55000000000000004</v>
      </c>
      <c r="S112" s="8">
        <v>0.40001999999999993</v>
      </c>
      <c r="T112" s="9">
        <f t="shared" si="10"/>
        <v>0.95001999999999998</v>
      </c>
      <c r="U112" s="8">
        <v>0.05</v>
      </c>
      <c r="V112" s="8">
        <v>9.0000000000000011E-2</v>
      </c>
      <c r="W112" s="8">
        <v>6.8000000000000005E-2</v>
      </c>
      <c r="X112" s="10">
        <v>0.31681583999999996</v>
      </c>
      <c r="Y112" s="8">
        <v>4.9980000000000024E-2</v>
      </c>
      <c r="Z112" s="11">
        <v>52595</v>
      </c>
      <c r="AA112" s="12"/>
      <c r="AB112" s="22">
        <f t="shared" si="11"/>
        <v>315000</v>
      </c>
      <c r="AC112" s="22"/>
      <c r="AD112" s="4">
        <v>0</v>
      </c>
      <c r="AE112" s="14">
        <f t="shared" si="12"/>
        <v>0</v>
      </c>
      <c r="AF112" s="13">
        <f t="shared" si="13"/>
        <v>51.344999999999999</v>
      </c>
      <c r="AG112" s="4">
        <v>163</v>
      </c>
      <c r="AH112" s="4">
        <v>210</v>
      </c>
      <c r="AI112" s="4">
        <v>1500</v>
      </c>
      <c r="AJ112" s="4">
        <v>550</v>
      </c>
      <c r="AK112" s="13">
        <f t="shared" si="14"/>
        <v>173.25</v>
      </c>
      <c r="AL112" s="13">
        <f t="shared" si="9"/>
        <v>95.287500000000009</v>
      </c>
      <c r="AM112" s="20">
        <v>115500</v>
      </c>
      <c r="AN112" s="20">
        <f t="shared" si="15"/>
        <v>34230</v>
      </c>
      <c r="AO112" s="23">
        <f t="shared" si="16"/>
        <v>0.59998000000000007</v>
      </c>
      <c r="AP112" s="24">
        <f t="shared" si="17"/>
        <v>2.024472392638037</v>
      </c>
    </row>
    <row r="113" spans="1:42" x14ac:dyDescent="0.3">
      <c r="A113" t="s">
        <v>622</v>
      </c>
      <c r="B113" s="6" t="s">
        <v>361</v>
      </c>
      <c r="C113" s="15" t="s">
        <v>526</v>
      </c>
      <c r="D113" s="5" t="s">
        <v>550</v>
      </c>
      <c r="E113" s="19">
        <v>1</v>
      </c>
      <c r="F113" s="17"/>
      <c r="G113" s="17"/>
      <c r="H113" s="17"/>
      <c r="I113" s="17"/>
      <c r="J113" s="16">
        <v>248</v>
      </c>
      <c r="K113" s="5" t="s">
        <v>119</v>
      </c>
      <c r="L113" s="6" t="s">
        <v>141</v>
      </c>
      <c r="M113" s="104"/>
      <c r="N113" s="6" t="s">
        <v>148</v>
      </c>
      <c r="O113" s="5" t="s">
        <v>715</v>
      </c>
      <c r="P113" s="6" t="s">
        <v>27</v>
      </c>
      <c r="Q113" s="7">
        <v>2045</v>
      </c>
      <c r="R113" s="8">
        <v>0.55000000000000004</v>
      </c>
      <c r="S113" s="8">
        <v>0.40001999999999993</v>
      </c>
      <c r="T113" s="9">
        <f t="shared" si="10"/>
        <v>0.95001999999999998</v>
      </c>
      <c r="U113" s="8">
        <v>0.05</v>
      </c>
      <c r="V113" s="8">
        <v>9.0000000000000011E-2</v>
      </c>
      <c r="W113" s="8">
        <v>6.8000000000000005E-2</v>
      </c>
      <c r="X113" s="10">
        <v>0.31681583999999996</v>
      </c>
      <c r="Y113" s="8">
        <v>4.9980000000000024E-2</v>
      </c>
      <c r="Z113" s="11">
        <v>53326</v>
      </c>
      <c r="AA113" s="12"/>
      <c r="AB113" s="22">
        <f t="shared" si="11"/>
        <v>315000</v>
      </c>
      <c r="AC113" s="22"/>
      <c r="AD113" s="4">
        <v>0</v>
      </c>
      <c r="AE113" s="14">
        <f t="shared" si="12"/>
        <v>0</v>
      </c>
      <c r="AF113" s="13">
        <f t="shared" si="13"/>
        <v>51.344999999999999</v>
      </c>
      <c r="AG113" s="4">
        <v>163</v>
      </c>
      <c r="AH113" s="4">
        <v>210</v>
      </c>
      <c r="AI113" s="4">
        <v>1500</v>
      </c>
      <c r="AJ113" s="4">
        <v>550</v>
      </c>
      <c r="AK113" s="13">
        <f t="shared" si="14"/>
        <v>173.25</v>
      </c>
      <c r="AL113" s="13">
        <f t="shared" si="9"/>
        <v>95.287500000000009</v>
      </c>
      <c r="AM113" s="20">
        <v>115500</v>
      </c>
      <c r="AN113" s="20">
        <f t="shared" si="15"/>
        <v>34230</v>
      </c>
      <c r="AO113" s="23">
        <f t="shared" si="16"/>
        <v>0.59998000000000007</v>
      </c>
      <c r="AP113" s="24">
        <f t="shared" si="17"/>
        <v>2.024472392638037</v>
      </c>
    </row>
    <row r="114" spans="1:42" x14ac:dyDescent="0.3">
      <c r="A114" t="s">
        <v>623</v>
      </c>
      <c r="B114" s="6" t="s">
        <v>362</v>
      </c>
      <c r="C114" s="15" t="s">
        <v>525</v>
      </c>
      <c r="D114" s="5" t="s">
        <v>550</v>
      </c>
      <c r="E114" s="19">
        <v>1</v>
      </c>
      <c r="F114" s="17"/>
      <c r="G114" s="17"/>
      <c r="H114" s="17"/>
      <c r="I114" s="17"/>
      <c r="J114" s="16">
        <v>249</v>
      </c>
      <c r="K114" s="5" t="s">
        <v>119</v>
      </c>
      <c r="L114" s="6" t="s">
        <v>149</v>
      </c>
      <c r="M114" s="104"/>
      <c r="N114" s="6" t="s">
        <v>118</v>
      </c>
      <c r="O114" s="5" t="s">
        <v>714</v>
      </c>
      <c r="P114" s="6" t="s">
        <v>27</v>
      </c>
      <c r="Q114" s="7">
        <v>2027</v>
      </c>
      <c r="R114" s="8">
        <v>0.45</v>
      </c>
      <c r="S114" s="8">
        <v>0.5</v>
      </c>
      <c r="T114" s="9">
        <f t="shared" si="10"/>
        <v>0.95</v>
      </c>
      <c r="U114" s="8">
        <v>0.05</v>
      </c>
      <c r="V114" s="8">
        <v>9.0000000000000011E-2</v>
      </c>
      <c r="W114" s="8">
        <v>6.8000000000000005E-2</v>
      </c>
      <c r="X114" s="10">
        <v>0.39600000000000002</v>
      </c>
      <c r="Y114" s="8">
        <v>5.0000000000000044E-2</v>
      </c>
      <c r="Z114" s="11">
        <v>46477</v>
      </c>
      <c r="AA114" s="12"/>
      <c r="AB114" s="22">
        <f t="shared" si="11"/>
        <v>331215.05</v>
      </c>
      <c r="AC114" s="22"/>
      <c r="AD114" s="4">
        <v>89.690640804002641</v>
      </c>
      <c r="AE114" s="14">
        <f t="shared" si="12"/>
        <v>0.42613360416000007</v>
      </c>
      <c r="AF114" s="13">
        <f t="shared" si="13"/>
        <v>53.988053150000006</v>
      </c>
      <c r="AG114" s="4">
        <v>163</v>
      </c>
      <c r="AH114" s="4">
        <v>299.20058717253841</v>
      </c>
      <c r="AI114" s="4">
        <v>1107</v>
      </c>
      <c r="AJ114" s="4">
        <v>635.46448156617566</v>
      </c>
      <c r="AK114" s="13">
        <f t="shared" si="14"/>
        <v>210.47540003516494</v>
      </c>
      <c r="AL114" s="13">
        <f t="shared" si="9"/>
        <v>94.713930015824218</v>
      </c>
      <c r="AM114" s="20">
        <v>190131.34601189246</v>
      </c>
      <c r="AN114" s="20">
        <f t="shared" si="15"/>
        <v>48769.695709123764</v>
      </c>
      <c r="AO114" s="23">
        <f t="shared" si="16"/>
        <v>0.5</v>
      </c>
      <c r="AP114" s="24">
        <f t="shared" si="17"/>
        <v>0.73245167478536033</v>
      </c>
    </row>
    <row r="115" spans="1:42" x14ac:dyDescent="0.3">
      <c r="A115" t="s">
        <v>624</v>
      </c>
      <c r="B115" s="6" t="s">
        <v>363</v>
      </c>
      <c r="C115" s="15" t="s">
        <v>525</v>
      </c>
      <c r="D115" s="5" t="s">
        <v>550</v>
      </c>
      <c r="E115" s="19">
        <v>1</v>
      </c>
      <c r="F115" s="17"/>
      <c r="G115" s="17"/>
      <c r="H115" s="17"/>
      <c r="I115" s="17"/>
      <c r="J115" s="16">
        <v>250</v>
      </c>
      <c r="K115" s="5" t="s">
        <v>119</v>
      </c>
      <c r="L115" s="6" t="s">
        <v>149</v>
      </c>
      <c r="M115" s="104"/>
      <c r="N115" s="6" t="s">
        <v>50</v>
      </c>
      <c r="O115" s="5" t="s">
        <v>715</v>
      </c>
      <c r="P115" s="6" t="s">
        <v>27</v>
      </c>
      <c r="Q115" s="7">
        <v>2029</v>
      </c>
      <c r="R115" s="8">
        <v>0.45</v>
      </c>
      <c r="S115" s="8">
        <v>0.5</v>
      </c>
      <c r="T115" s="9">
        <f t="shared" si="10"/>
        <v>0.95</v>
      </c>
      <c r="U115" s="8">
        <v>0.05</v>
      </c>
      <c r="V115" s="8">
        <v>9.0000000000000011E-2</v>
      </c>
      <c r="W115" s="8">
        <v>6.8000000000000005E-2</v>
      </c>
      <c r="X115" s="10">
        <v>0.39600000000000002</v>
      </c>
      <c r="Y115" s="8">
        <v>5.0000000000000044E-2</v>
      </c>
      <c r="Z115" s="11">
        <v>47299</v>
      </c>
      <c r="AA115" s="12"/>
      <c r="AB115" s="22">
        <f t="shared" si="11"/>
        <v>308574.72199999995</v>
      </c>
      <c r="AC115" s="22"/>
      <c r="AD115" s="4">
        <v>89.511350691401461</v>
      </c>
      <c r="AE115" s="14">
        <f t="shared" si="12"/>
        <v>0.45648497011629591</v>
      </c>
      <c r="AF115" s="13">
        <f t="shared" si="13"/>
        <v>50.297679685999995</v>
      </c>
      <c r="AG115" s="4">
        <v>163</v>
      </c>
      <c r="AH115" s="4">
        <v>299.00651356589145</v>
      </c>
      <c r="AI115" s="4">
        <v>1032</v>
      </c>
      <c r="AJ115" s="4">
        <v>635.46448156617566</v>
      </c>
      <c r="AK115" s="13">
        <f t="shared" si="14"/>
        <v>196.08827574015677</v>
      </c>
      <c r="AL115" s="13">
        <f t="shared" si="9"/>
        <v>88.239724083070556</v>
      </c>
      <c r="AM115" s="20">
        <v>190008.01912805889</v>
      </c>
      <c r="AN115" s="20">
        <f t="shared" si="15"/>
        <v>48738.061711240305</v>
      </c>
      <c r="AO115" s="23">
        <f t="shared" si="16"/>
        <v>0.5</v>
      </c>
      <c r="AP115" s="24">
        <f t="shared" si="17"/>
        <v>0.70127185350915722</v>
      </c>
    </row>
    <row r="116" spans="1:42" x14ac:dyDescent="0.3">
      <c r="A116" t="s">
        <v>624</v>
      </c>
      <c r="B116" s="6" t="s">
        <v>364</v>
      </c>
      <c r="C116" s="15" t="s">
        <v>525</v>
      </c>
      <c r="D116" s="5" t="s">
        <v>550</v>
      </c>
      <c r="E116" s="19">
        <v>1</v>
      </c>
      <c r="F116" s="17"/>
      <c r="G116" s="17"/>
      <c r="H116" s="17"/>
      <c r="I116" s="17"/>
      <c r="J116" s="16">
        <v>251</v>
      </c>
      <c r="K116" s="5" t="s">
        <v>119</v>
      </c>
      <c r="L116" s="6" t="s">
        <v>149</v>
      </c>
      <c r="M116" s="104"/>
      <c r="N116" s="6" t="s">
        <v>51</v>
      </c>
      <c r="O116" s="5" t="s">
        <v>715</v>
      </c>
      <c r="P116" s="6" t="s">
        <v>27</v>
      </c>
      <c r="Q116" s="7">
        <v>2031</v>
      </c>
      <c r="R116" s="8">
        <v>0.45</v>
      </c>
      <c r="S116" s="8">
        <v>0.5</v>
      </c>
      <c r="T116" s="9">
        <f t="shared" si="10"/>
        <v>0.95</v>
      </c>
      <c r="U116" s="8">
        <v>0.05</v>
      </c>
      <c r="V116" s="8">
        <v>9.0000000000000011E-2</v>
      </c>
      <c r="W116" s="8">
        <v>6.8000000000000005E-2</v>
      </c>
      <c r="X116" s="10">
        <v>0.39600000000000002</v>
      </c>
      <c r="Y116" s="8">
        <v>5.0000000000000044E-2</v>
      </c>
      <c r="Z116" s="11">
        <v>48029</v>
      </c>
      <c r="AA116" s="12"/>
      <c r="AB116" s="22">
        <f t="shared" si="11"/>
        <v>308574.72199999995</v>
      </c>
      <c r="AC116" s="22"/>
      <c r="AD116" s="4">
        <v>95.886796644396512</v>
      </c>
      <c r="AE116" s="14">
        <f t="shared" si="12"/>
        <v>0.48899811211282901</v>
      </c>
      <c r="AF116" s="13">
        <f t="shared" si="13"/>
        <v>50.297679685999995</v>
      </c>
      <c r="AG116" s="4">
        <v>163</v>
      </c>
      <c r="AH116" s="4">
        <v>299.00651356589145</v>
      </c>
      <c r="AI116" s="4">
        <v>1032</v>
      </c>
      <c r="AJ116" s="4">
        <v>635.46448156617566</v>
      </c>
      <c r="AK116" s="13">
        <f t="shared" si="14"/>
        <v>196.08827574015677</v>
      </c>
      <c r="AL116" s="13">
        <f t="shared" si="9"/>
        <v>88.239724083070556</v>
      </c>
      <c r="AM116" s="20">
        <v>190008.01912805889</v>
      </c>
      <c r="AN116" s="20">
        <f t="shared" si="15"/>
        <v>48738.061711240305</v>
      </c>
      <c r="AO116" s="23">
        <f t="shared" si="16"/>
        <v>0.5</v>
      </c>
      <c r="AP116" s="24">
        <f t="shared" si="17"/>
        <v>0.6706877524292354</v>
      </c>
    </row>
    <row r="117" spans="1:42" x14ac:dyDescent="0.3">
      <c r="A117" t="s">
        <v>624</v>
      </c>
      <c r="B117" s="6" t="s">
        <v>365</v>
      </c>
      <c r="C117" s="15" t="s">
        <v>525</v>
      </c>
      <c r="D117" s="5" t="s">
        <v>550</v>
      </c>
      <c r="E117" s="19">
        <v>1</v>
      </c>
      <c r="F117" s="17"/>
      <c r="G117" s="17"/>
      <c r="H117" s="17"/>
      <c r="I117" s="17"/>
      <c r="J117" s="16">
        <v>252</v>
      </c>
      <c r="K117" s="5" t="s">
        <v>119</v>
      </c>
      <c r="L117" s="6" t="s">
        <v>149</v>
      </c>
      <c r="M117" s="104"/>
      <c r="N117" s="6" t="s">
        <v>52</v>
      </c>
      <c r="O117" s="5" t="s">
        <v>715</v>
      </c>
      <c r="P117" s="6" t="s">
        <v>27</v>
      </c>
      <c r="Q117" s="7">
        <v>2033</v>
      </c>
      <c r="R117" s="8">
        <v>0.45</v>
      </c>
      <c r="S117" s="8">
        <v>0.5</v>
      </c>
      <c r="T117" s="9">
        <f t="shared" si="10"/>
        <v>0.95</v>
      </c>
      <c r="U117" s="8">
        <v>0.05</v>
      </c>
      <c r="V117" s="8">
        <v>9.0000000000000011E-2</v>
      </c>
      <c r="W117" s="8">
        <v>6.8000000000000005E-2</v>
      </c>
      <c r="X117" s="10">
        <v>0.39600000000000002</v>
      </c>
      <c r="Y117" s="8">
        <v>5.0000000000000044E-2</v>
      </c>
      <c r="Z117" s="11">
        <v>48760</v>
      </c>
      <c r="AA117" s="12"/>
      <c r="AB117" s="22">
        <f t="shared" si="11"/>
        <v>308574.72199999995</v>
      </c>
      <c r="AC117" s="22"/>
      <c r="AD117" s="4">
        <v>102.71633373539363</v>
      </c>
      <c r="AE117" s="14">
        <f t="shared" si="12"/>
        <v>0.52382700264806514</v>
      </c>
      <c r="AF117" s="13">
        <f t="shared" si="13"/>
        <v>50.297679685999995</v>
      </c>
      <c r="AG117" s="4">
        <v>163</v>
      </c>
      <c r="AH117" s="4">
        <v>299.00651356589145</v>
      </c>
      <c r="AI117" s="4">
        <v>1032</v>
      </c>
      <c r="AJ117" s="4">
        <v>635.46448156617566</v>
      </c>
      <c r="AK117" s="13">
        <f t="shared" si="14"/>
        <v>196.08827574015677</v>
      </c>
      <c r="AL117" s="13">
        <f t="shared" si="9"/>
        <v>88.239724083070556</v>
      </c>
      <c r="AM117" s="20">
        <v>190008.01912805889</v>
      </c>
      <c r="AN117" s="20">
        <f t="shared" si="15"/>
        <v>48738.061711240305</v>
      </c>
      <c r="AO117" s="23">
        <f t="shared" si="16"/>
        <v>0.5</v>
      </c>
      <c r="AP117" s="24">
        <f t="shared" si="17"/>
        <v>0.64075267145675929</v>
      </c>
    </row>
    <row r="118" spans="1:42" x14ac:dyDescent="0.3">
      <c r="A118" t="s">
        <v>624</v>
      </c>
      <c r="B118" s="6" t="s">
        <v>366</v>
      </c>
      <c r="C118" s="15" t="s">
        <v>525</v>
      </c>
      <c r="D118" s="5" t="s">
        <v>550</v>
      </c>
      <c r="E118" s="19">
        <v>1</v>
      </c>
      <c r="F118" s="17"/>
      <c r="G118" s="17"/>
      <c r="H118" s="17"/>
      <c r="I118" s="17"/>
      <c r="J118" s="16">
        <v>253</v>
      </c>
      <c r="K118" s="5" t="s">
        <v>119</v>
      </c>
      <c r="L118" s="6" t="s">
        <v>149</v>
      </c>
      <c r="M118" s="104"/>
      <c r="N118" s="6" t="s">
        <v>53</v>
      </c>
      <c r="O118" s="5" t="s">
        <v>715</v>
      </c>
      <c r="P118" s="6" t="s">
        <v>27</v>
      </c>
      <c r="Q118" s="7">
        <v>2035</v>
      </c>
      <c r="R118" s="8">
        <v>0.45</v>
      </c>
      <c r="S118" s="8">
        <v>0.5</v>
      </c>
      <c r="T118" s="9">
        <f t="shared" si="10"/>
        <v>0.95</v>
      </c>
      <c r="U118" s="8">
        <v>0.05</v>
      </c>
      <c r="V118" s="8">
        <v>9.0000000000000011E-2</v>
      </c>
      <c r="W118" s="8">
        <v>6.8000000000000005E-2</v>
      </c>
      <c r="X118" s="10">
        <v>0.39600000000000002</v>
      </c>
      <c r="Y118" s="8">
        <v>5.0000000000000044E-2</v>
      </c>
      <c r="Z118" s="11">
        <v>49490</v>
      </c>
      <c r="AA118" s="12"/>
      <c r="AB118" s="22">
        <f t="shared" si="11"/>
        <v>308574.72199999995</v>
      </c>
      <c r="AC118" s="22"/>
      <c r="AD118" s="4">
        <v>110.03230460569705</v>
      </c>
      <c r="AE118" s="14">
        <f t="shared" si="12"/>
        <v>0.56113658091167362</v>
      </c>
      <c r="AF118" s="13">
        <f t="shared" si="13"/>
        <v>50.297679685999995</v>
      </c>
      <c r="AG118" s="4">
        <v>163</v>
      </c>
      <c r="AH118" s="4">
        <v>299.00651356589145</v>
      </c>
      <c r="AI118" s="4">
        <v>1032</v>
      </c>
      <c r="AJ118" s="4">
        <v>635.46448156617566</v>
      </c>
      <c r="AK118" s="13">
        <f t="shared" si="14"/>
        <v>196.08827574015677</v>
      </c>
      <c r="AL118" s="13">
        <f t="shared" si="9"/>
        <v>88.239724083070556</v>
      </c>
      <c r="AM118" s="20">
        <v>190008.01912805889</v>
      </c>
      <c r="AN118" s="20">
        <f t="shared" si="15"/>
        <v>48738.061711240305</v>
      </c>
      <c r="AO118" s="23">
        <f t="shared" si="16"/>
        <v>0.5</v>
      </c>
      <c r="AP118" s="24">
        <f t="shared" si="17"/>
        <v>0.61151467271213211</v>
      </c>
    </row>
    <row r="119" spans="1:42" x14ac:dyDescent="0.3">
      <c r="A119" t="s">
        <v>624</v>
      </c>
      <c r="B119" s="6" t="s">
        <v>367</v>
      </c>
      <c r="C119" s="15" t="s">
        <v>525</v>
      </c>
      <c r="D119" s="5" t="s">
        <v>550</v>
      </c>
      <c r="E119" s="19">
        <v>1</v>
      </c>
      <c r="F119" s="17"/>
      <c r="G119" s="17"/>
      <c r="H119" s="17"/>
      <c r="I119" s="17"/>
      <c r="J119" s="16">
        <v>254</v>
      </c>
      <c r="K119" s="5" t="s">
        <v>119</v>
      </c>
      <c r="L119" s="6" t="s">
        <v>149</v>
      </c>
      <c r="M119" s="104"/>
      <c r="N119" s="6" t="s">
        <v>54</v>
      </c>
      <c r="O119" s="5" t="s">
        <v>715</v>
      </c>
      <c r="P119" s="6" t="s">
        <v>27</v>
      </c>
      <c r="Q119" s="7">
        <v>2037</v>
      </c>
      <c r="R119" s="8">
        <v>0.45</v>
      </c>
      <c r="S119" s="8">
        <v>0.5</v>
      </c>
      <c r="T119" s="9">
        <f t="shared" si="10"/>
        <v>0.95</v>
      </c>
      <c r="U119" s="8">
        <v>0.05</v>
      </c>
      <c r="V119" s="8">
        <v>9.0000000000000011E-2</v>
      </c>
      <c r="W119" s="8">
        <v>6.8000000000000005E-2</v>
      </c>
      <c r="X119" s="10">
        <v>0.39600000000000002</v>
      </c>
      <c r="Y119" s="8">
        <v>5.0000000000000044E-2</v>
      </c>
      <c r="Z119" s="11">
        <v>50221</v>
      </c>
      <c r="AA119" s="12"/>
      <c r="AB119" s="22">
        <f t="shared" si="11"/>
        <v>308574.72199999995</v>
      </c>
      <c r="AC119" s="22"/>
      <c r="AD119" s="4">
        <v>0</v>
      </c>
      <c r="AE119" s="14">
        <f t="shared" si="12"/>
        <v>0</v>
      </c>
      <c r="AF119" s="13">
        <f t="shared" si="13"/>
        <v>50.297679685999995</v>
      </c>
      <c r="AG119" s="4">
        <v>163</v>
      </c>
      <c r="AH119" s="4">
        <v>299.00651356589145</v>
      </c>
      <c r="AI119" s="4">
        <v>1032</v>
      </c>
      <c r="AJ119" s="4">
        <v>635.46448156617566</v>
      </c>
      <c r="AK119" s="13">
        <f t="shared" si="14"/>
        <v>196.08827574015677</v>
      </c>
      <c r="AL119" s="13">
        <f t="shared" si="9"/>
        <v>88.239724083070556</v>
      </c>
      <c r="AM119" s="20">
        <v>190008.01912805889</v>
      </c>
      <c r="AN119" s="20">
        <f t="shared" si="15"/>
        <v>48738.061711240305</v>
      </c>
      <c r="AO119" s="23">
        <f t="shared" si="16"/>
        <v>0.5</v>
      </c>
      <c r="AP119" s="24">
        <f t="shared" si="17"/>
        <v>1.9492775508164899</v>
      </c>
    </row>
    <row r="120" spans="1:42" x14ac:dyDescent="0.3">
      <c r="A120" t="s">
        <v>625</v>
      </c>
      <c r="B120" s="6" t="s">
        <v>368</v>
      </c>
      <c r="C120" s="15" t="s">
        <v>524</v>
      </c>
      <c r="D120" s="5" t="s">
        <v>550</v>
      </c>
      <c r="E120" s="19">
        <v>1</v>
      </c>
      <c r="F120" s="17"/>
      <c r="G120" s="17"/>
      <c r="H120" s="17"/>
      <c r="I120" s="17"/>
      <c r="J120" s="16">
        <v>255</v>
      </c>
      <c r="K120" s="5" t="s">
        <v>119</v>
      </c>
      <c r="L120" s="6" t="s">
        <v>150</v>
      </c>
      <c r="M120" s="104"/>
      <c r="N120" s="6" t="s">
        <v>151</v>
      </c>
      <c r="O120" s="5" t="s">
        <v>714</v>
      </c>
      <c r="P120" s="6" t="s">
        <v>27</v>
      </c>
      <c r="Q120" s="7">
        <v>2028</v>
      </c>
      <c r="R120" s="8">
        <v>0.63710649999999991</v>
      </c>
      <c r="S120" s="8">
        <v>0.30500000000000005</v>
      </c>
      <c r="T120" s="9">
        <f t="shared" si="10"/>
        <v>0.94210649999999996</v>
      </c>
      <c r="U120" s="8">
        <v>0.05</v>
      </c>
      <c r="V120" s="8">
        <v>9.0000000000000011E-2</v>
      </c>
      <c r="W120" s="8">
        <v>6.8000000000000005E-2</v>
      </c>
      <c r="X120" s="10">
        <v>0.24156000000000005</v>
      </c>
      <c r="Y120" s="8">
        <v>5.7893500000000042E-2</v>
      </c>
      <c r="Z120" s="11">
        <v>47026</v>
      </c>
      <c r="AA120" s="12"/>
      <c r="AB120" s="22">
        <f t="shared" si="11"/>
        <v>183688.94</v>
      </c>
      <c r="AC120" s="22"/>
      <c r="AD120" s="4">
        <v>27.180764363432196</v>
      </c>
      <c r="AE120" s="14">
        <f t="shared" si="12"/>
        <v>0.26903945098641602</v>
      </c>
      <c r="AF120" s="13">
        <f t="shared" si="13"/>
        <v>29.941297219999999</v>
      </c>
      <c r="AG120" s="4">
        <v>163</v>
      </c>
      <c r="AH120" s="4">
        <v>174.94184761904762</v>
      </c>
      <c r="AI120" s="4">
        <v>1050</v>
      </c>
      <c r="AJ120" s="4">
        <v>550</v>
      </c>
      <c r="AK120" s="13">
        <f t="shared" si="14"/>
        <v>101.02891700000001</v>
      </c>
      <c r="AL120" s="13">
        <f t="shared" si="9"/>
        <v>64.366179708660496</v>
      </c>
      <c r="AM120" s="20">
        <v>96218.016190476192</v>
      </c>
      <c r="AN120" s="20">
        <f t="shared" si="15"/>
        <v>28515.521161904762</v>
      </c>
      <c r="AO120" s="23">
        <f t="shared" si="16"/>
        <v>0.69499999999999995</v>
      </c>
      <c r="AP120" s="24">
        <f t="shared" si="17"/>
        <v>1.2292115404911319</v>
      </c>
    </row>
    <row r="121" spans="1:42" x14ac:dyDescent="0.3">
      <c r="A121" t="s">
        <v>626</v>
      </c>
      <c r="B121" s="6" t="s">
        <v>369</v>
      </c>
      <c r="C121" s="15" t="s">
        <v>524</v>
      </c>
      <c r="D121" s="5" t="s">
        <v>550</v>
      </c>
      <c r="E121" s="19">
        <v>1</v>
      </c>
      <c r="F121" s="17"/>
      <c r="G121" s="17"/>
      <c r="H121" s="17"/>
      <c r="I121" s="17"/>
      <c r="J121" s="16">
        <v>256</v>
      </c>
      <c r="K121" s="5" t="s">
        <v>119</v>
      </c>
      <c r="L121" s="6" t="s">
        <v>150</v>
      </c>
      <c r="M121" s="104"/>
      <c r="N121" s="6" t="s">
        <v>152</v>
      </c>
      <c r="O121" s="5" t="s">
        <v>715</v>
      </c>
      <c r="P121" s="6" t="s">
        <v>27</v>
      </c>
      <c r="Q121" s="7">
        <v>2030</v>
      </c>
      <c r="R121" s="8">
        <v>0.63710649999999991</v>
      </c>
      <c r="S121" s="8">
        <v>0.30500000000000005</v>
      </c>
      <c r="T121" s="9">
        <f t="shared" si="10"/>
        <v>0.94210649999999996</v>
      </c>
      <c r="U121" s="8">
        <v>0.05</v>
      </c>
      <c r="V121" s="8">
        <v>9.0000000000000011E-2</v>
      </c>
      <c r="W121" s="8">
        <v>6.8000000000000005E-2</v>
      </c>
      <c r="X121" s="10">
        <v>0.24156000000000005</v>
      </c>
      <c r="Y121" s="8">
        <v>5.7893500000000042E-2</v>
      </c>
      <c r="Z121" s="11">
        <v>47756</v>
      </c>
      <c r="AA121" s="12"/>
      <c r="AB121" s="22">
        <f t="shared" si="11"/>
        <v>98462.38</v>
      </c>
      <c r="AC121" s="22"/>
      <c r="AD121" s="4">
        <v>17.026220254969829</v>
      </c>
      <c r="AE121" s="14">
        <f t="shared" si="12"/>
        <v>0.2882017858829235</v>
      </c>
      <c r="AF121" s="13">
        <f t="shared" si="13"/>
        <v>16.04936794</v>
      </c>
      <c r="AG121" s="4">
        <v>163</v>
      </c>
      <c r="AH121" s="4">
        <v>184.73242026266416</v>
      </c>
      <c r="AI121" s="4">
        <v>533</v>
      </c>
      <c r="AJ121" s="4">
        <v>600</v>
      </c>
      <c r="AK121" s="13">
        <f t="shared" si="14"/>
        <v>59.077427999999998</v>
      </c>
      <c r="AL121" s="13">
        <f t="shared" si="9"/>
        <v>37.638613382081992</v>
      </c>
      <c r="AM121" s="20">
        <v>110839.4521575985</v>
      </c>
      <c r="AN121" s="20">
        <f t="shared" si="15"/>
        <v>30111.38450281426</v>
      </c>
      <c r="AO121" s="23">
        <f t="shared" si="16"/>
        <v>0.69499999999999995</v>
      </c>
      <c r="AP121" s="24">
        <f t="shared" si="17"/>
        <v>1.2413630323963301</v>
      </c>
    </row>
    <row r="122" spans="1:42" x14ac:dyDescent="0.3">
      <c r="A122" t="s">
        <v>627</v>
      </c>
      <c r="B122" s="6" t="s">
        <v>370</v>
      </c>
      <c r="C122" s="15" t="s">
        <v>523</v>
      </c>
      <c r="D122" s="5" t="s">
        <v>550</v>
      </c>
      <c r="E122" s="19">
        <v>1</v>
      </c>
      <c r="F122" s="17"/>
      <c r="G122" s="17"/>
      <c r="H122" s="17"/>
      <c r="I122" s="17"/>
      <c r="J122" s="16">
        <v>257</v>
      </c>
      <c r="K122" s="5" t="s">
        <v>119</v>
      </c>
      <c r="L122" s="6" t="s">
        <v>150</v>
      </c>
      <c r="M122" s="104"/>
      <c r="N122" s="6" t="s">
        <v>153</v>
      </c>
      <c r="O122" s="5" t="s">
        <v>715</v>
      </c>
      <c r="P122" s="6" t="s">
        <v>27</v>
      </c>
      <c r="Q122" s="7">
        <v>2032</v>
      </c>
      <c r="R122" s="8">
        <v>0.65085700000000002</v>
      </c>
      <c r="S122" s="8">
        <v>0.29000000000000004</v>
      </c>
      <c r="T122" s="9">
        <f t="shared" si="10"/>
        <v>0.94085700000000005</v>
      </c>
      <c r="U122" s="8">
        <v>0.05</v>
      </c>
      <c r="V122" s="8">
        <v>9.0000000000000011E-2</v>
      </c>
      <c r="W122" s="8">
        <v>6.8000000000000005E-2</v>
      </c>
      <c r="X122" s="10">
        <v>0.22968000000000002</v>
      </c>
      <c r="Y122" s="8">
        <v>5.9142999999999946E-2</v>
      </c>
      <c r="Z122" s="11">
        <v>48487</v>
      </c>
      <c r="AA122" s="12"/>
      <c r="AB122" s="22">
        <f t="shared" si="11"/>
        <v>55347.22</v>
      </c>
      <c r="AC122" s="22"/>
      <c r="AD122" s="4">
        <v>9.7481586361459556</v>
      </c>
      <c r="AE122" s="14">
        <f t="shared" si="12"/>
        <v>0.29354556670133136</v>
      </c>
      <c r="AF122" s="13">
        <f t="shared" si="13"/>
        <v>9.0215968599999989</v>
      </c>
      <c r="AG122" s="4">
        <v>163</v>
      </c>
      <c r="AH122" s="4">
        <v>166.20786786786786</v>
      </c>
      <c r="AI122" s="4">
        <v>333</v>
      </c>
      <c r="AJ122" s="4">
        <v>600</v>
      </c>
      <c r="AK122" s="13">
        <f t="shared" si="14"/>
        <v>33.208331999999999</v>
      </c>
      <c r="AL122" s="13">
        <f t="shared" si="9"/>
        <v>21.613875340524</v>
      </c>
      <c r="AM122" s="20">
        <v>99724.72072072071</v>
      </c>
      <c r="AN122" s="20">
        <f t="shared" si="15"/>
        <v>27091.882462462461</v>
      </c>
      <c r="AO122" s="23">
        <f t="shared" si="16"/>
        <v>0.71</v>
      </c>
      <c r="AP122" s="24">
        <f t="shared" si="17"/>
        <v>1.2561653093904881</v>
      </c>
    </row>
    <row r="123" spans="1:42" x14ac:dyDescent="0.3">
      <c r="A123" t="s">
        <v>628</v>
      </c>
      <c r="B123" s="6" t="s">
        <v>371</v>
      </c>
      <c r="C123" s="15" t="s">
        <v>522</v>
      </c>
      <c r="D123" s="5" t="s">
        <v>550</v>
      </c>
      <c r="E123" s="19">
        <v>1</v>
      </c>
      <c r="F123" s="17"/>
      <c r="G123" s="17"/>
      <c r="H123" s="17"/>
      <c r="I123" s="17"/>
      <c r="J123" s="16">
        <v>258</v>
      </c>
      <c r="K123" s="5" t="s">
        <v>119</v>
      </c>
      <c r="L123" s="6" t="s">
        <v>150</v>
      </c>
      <c r="M123" s="104"/>
      <c r="N123" s="6" t="s">
        <v>154</v>
      </c>
      <c r="O123" s="5" t="s">
        <v>715</v>
      </c>
      <c r="P123" s="6" t="s">
        <v>27</v>
      </c>
      <c r="Q123" s="7">
        <v>2034</v>
      </c>
      <c r="R123" s="8">
        <v>0.65085700000000002</v>
      </c>
      <c r="S123" s="8">
        <v>0.29000000000000004</v>
      </c>
      <c r="T123" s="9">
        <f t="shared" si="10"/>
        <v>0.94085700000000005</v>
      </c>
      <c r="U123" s="8">
        <v>0.05</v>
      </c>
      <c r="V123" s="8">
        <v>9.0000000000000011E-2</v>
      </c>
      <c r="W123" s="8">
        <v>6.8000000000000005E-2</v>
      </c>
      <c r="X123" s="10">
        <v>0.22968000000000002</v>
      </c>
      <c r="Y123" s="8">
        <v>5.9142999999999946E-2</v>
      </c>
      <c r="Z123" s="11">
        <v>49217</v>
      </c>
      <c r="AA123" s="12"/>
      <c r="AB123" s="22">
        <f t="shared" si="11"/>
        <v>145843.20000000001</v>
      </c>
      <c r="AC123" s="22"/>
      <c r="AD123" s="4">
        <v>27.516529661673097</v>
      </c>
      <c r="AE123" s="14">
        <f t="shared" si="12"/>
        <v>0.31445334968963351</v>
      </c>
      <c r="AF123" s="13">
        <f t="shared" si="13"/>
        <v>23.772441600000001</v>
      </c>
      <c r="AG123" s="4">
        <v>163</v>
      </c>
      <c r="AH123" s="4">
        <v>172.8</v>
      </c>
      <c r="AI123" s="4">
        <v>844</v>
      </c>
      <c r="AJ123" s="4">
        <v>600</v>
      </c>
      <c r="AK123" s="13">
        <f t="shared" si="14"/>
        <v>87.505920000000003</v>
      </c>
      <c r="AL123" s="13">
        <f t="shared" si="9"/>
        <v>56.953840573440004</v>
      </c>
      <c r="AM123" s="20">
        <v>103680</v>
      </c>
      <c r="AN123" s="20">
        <f t="shared" si="15"/>
        <v>28166.400000000001</v>
      </c>
      <c r="AO123" s="23">
        <f t="shared" si="16"/>
        <v>0.71</v>
      </c>
      <c r="AP123" s="24">
        <f t="shared" si="17"/>
        <v>1.2113560025023844</v>
      </c>
    </row>
    <row r="124" spans="1:42" x14ac:dyDescent="0.3">
      <c r="A124" t="s">
        <v>629</v>
      </c>
      <c r="B124" s="6" t="s">
        <v>372</v>
      </c>
      <c r="C124" s="15" t="s">
        <v>521</v>
      </c>
      <c r="D124" s="5" t="s">
        <v>550</v>
      </c>
      <c r="E124" s="19">
        <v>1</v>
      </c>
      <c r="F124" s="17"/>
      <c r="G124" s="17"/>
      <c r="H124" s="17"/>
      <c r="I124" s="17"/>
      <c r="J124" s="16">
        <v>259</v>
      </c>
      <c r="K124" s="5" t="s">
        <v>119</v>
      </c>
      <c r="L124" s="6" t="s">
        <v>150</v>
      </c>
      <c r="M124" s="104"/>
      <c r="N124" s="6" t="s">
        <v>155</v>
      </c>
      <c r="O124" s="5" t="s">
        <v>715</v>
      </c>
      <c r="P124" s="6" t="s">
        <v>27</v>
      </c>
      <c r="Q124" s="7">
        <v>2036</v>
      </c>
      <c r="R124" s="8">
        <v>0.65085700000000002</v>
      </c>
      <c r="S124" s="8">
        <v>0.29000000000000004</v>
      </c>
      <c r="T124" s="9">
        <f t="shared" si="10"/>
        <v>0.94085700000000005</v>
      </c>
      <c r="U124" s="8">
        <v>0.05</v>
      </c>
      <c r="V124" s="8">
        <v>9.0000000000000011E-2</v>
      </c>
      <c r="W124" s="8">
        <v>6.8000000000000005E-2</v>
      </c>
      <c r="X124" s="10">
        <v>0.22968000000000002</v>
      </c>
      <c r="Y124" s="8">
        <v>5.9142999999999946E-2</v>
      </c>
      <c r="Z124" s="11">
        <v>49948</v>
      </c>
      <c r="AA124" s="12"/>
      <c r="AB124" s="22">
        <f t="shared" si="11"/>
        <v>142117.4</v>
      </c>
      <c r="AC124" s="22"/>
      <c r="AD124" s="4">
        <v>0</v>
      </c>
      <c r="AE124" s="14">
        <f t="shared" si="12"/>
        <v>0</v>
      </c>
      <c r="AF124" s="13">
        <f t="shared" si="13"/>
        <v>23.165136199999999</v>
      </c>
      <c r="AG124" s="4">
        <v>163</v>
      </c>
      <c r="AH124" s="4">
        <v>159.86209223847018</v>
      </c>
      <c r="AI124" s="4">
        <v>889</v>
      </c>
      <c r="AJ124" s="4">
        <v>600</v>
      </c>
      <c r="AK124" s="13">
        <f t="shared" si="14"/>
        <v>85.270439999999994</v>
      </c>
      <c r="AL124" s="13">
        <f t="shared" si="9"/>
        <v>55.498862767079999</v>
      </c>
      <c r="AM124" s="20">
        <v>95917.255343082114</v>
      </c>
      <c r="AN124" s="20">
        <f t="shared" si="15"/>
        <v>26057.521034870639</v>
      </c>
      <c r="AO124" s="23">
        <f t="shared" si="16"/>
        <v>0.71</v>
      </c>
      <c r="AP124" s="24">
        <f t="shared" si="17"/>
        <v>2.613496932515337</v>
      </c>
    </row>
    <row r="125" spans="1:42" x14ac:dyDescent="0.3">
      <c r="A125" t="s">
        <v>629</v>
      </c>
      <c r="B125" s="6" t="s">
        <v>373</v>
      </c>
      <c r="C125" s="15" t="s">
        <v>521</v>
      </c>
      <c r="D125" s="5" t="s">
        <v>550</v>
      </c>
      <c r="E125" s="19">
        <v>1</v>
      </c>
      <c r="F125" s="17"/>
      <c r="G125" s="17"/>
      <c r="H125" s="17"/>
      <c r="I125" s="17"/>
      <c r="J125" s="16">
        <v>260</v>
      </c>
      <c r="K125" s="5" t="s">
        <v>119</v>
      </c>
      <c r="L125" s="6" t="s">
        <v>150</v>
      </c>
      <c r="M125" s="104"/>
      <c r="N125" s="6" t="s">
        <v>156</v>
      </c>
      <c r="O125" s="5" t="s">
        <v>715</v>
      </c>
      <c r="P125" s="6" t="s">
        <v>27</v>
      </c>
      <c r="Q125" s="7">
        <v>2038</v>
      </c>
      <c r="R125" s="8">
        <v>0.65085700000000002</v>
      </c>
      <c r="S125" s="8">
        <v>0.29000000000000004</v>
      </c>
      <c r="T125" s="9">
        <f t="shared" si="10"/>
        <v>0.94085700000000005</v>
      </c>
      <c r="U125" s="8">
        <v>0.05</v>
      </c>
      <c r="V125" s="8">
        <v>9.0000000000000011E-2</v>
      </c>
      <c r="W125" s="8">
        <v>6.8000000000000005E-2</v>
      </c>
      <c r="X125" s="10">
        <v>0.22968000000000002</v>
      </c>
      <c r="Y125" s="8">
        <v>5.9142999999999946E-2</v>
      </c>
      <c r="Z125" s="11">
        <v>50678</v>
      </c>
      <c r="AA125" s="12"/>
      <c r="AB125" s="22">
        <f t="shared" si="11"/>
        <v>153158.75</v>
      </c>
      <c r="AC125" s="22"/>
      <c r="AD125" s="4">
        <v>0</v>
      </c>
      <c r="AE125" s="14">
        <f t="shared" si="12"/>
        <v>0</v>
      </c>
      <c r="AF125" s="13">
        <f t="shared" si="13"/>
        <v>24.964876249999996</v>
      </c>
      <c r="AG125" s="4">
        <v>163</v>
      </c>
      <c r="AH125" s="4">
        <v>160.04049111807731</v>
      </c>
      <c r="AI125" s="4">
        <v>957</v>
      </c>
      <c r="AJ125" s="4">
        <v>600</v>
      </c>
      <c r="AK125" s="13">
        <f t="shared" si="14"/>
        <v>91.895250000000004</v>
      </c>
      <c r="AL125" s="13">
        <f t="shared" si="9"/>
        <v>59.810666729250002</v>
      </c>
      <c r="AM125" s="20">
        <v>96024.294670846386</v>
      </c>
      <c r="AN125" s="20">
        <f t="shared" si="15"/>
        <v>26086.600052246602</v>
      </c>
      <c r="AO125" s="23">
        <f t="shared" si="16"/>
        <v>0.71</v>
      </c>
      <c r="AP125" s="24">
        <f t="shared" si="17"/>
        <v>2.6134969325153379</v>
      </c>
    </row>
    <row r="126" spans="1:42" x14ac:dyDescent="0.3">
      <c r="A126" t="s">
        <v>630</v>
      </c>
      <c r="B126" s="6" t="s">
        <v>374</v>
      </c>
      <c r="C126" s="15" t="s">
        <v>520</v>
      </c>
      <c r="D126" s="5" t="s">
        <v>550</v>
      </c>
      <c r="E126" s="19">
        <v>1</v>
      </c>
      <c r="F126" s="17"/>
      <c r="G126" s="17"/>
      <c r="H126" s="17"/>
      <c r="I126" s="17"/>
      <c r="J126" s="16">
        <v>261</v>
      </c>
      <c r="K126" s="5" t="s">
        <v>119</v>
      </c>
      <c r="L126" s="6" t="s">
        <v>157</v>
      </c>
      <c r="M126" s="104"/>
      <c r="N126" s="6" t="s">
        <v>158</v>
      </c>
      <c r="O126" s="5" t="s">
        <v>714</v>
      </c>
      <c r="P126" s="6" t="s">
        <v>27</v>
      </c>
      <c r="Q126" s="7">
        <v>2027</v>
      </c>
      <c r="R126" s="8">
        <v>0.64168999999999998</v>
      </c>
      <c r="S126" s="8">
        <v>0.30000000000000004</v>
      </c>
      <c r="T126" s="9">
        <f t="shared" si="10"/>
        <v>0.94169000000000003</v>
      </c>
      <c r="U126" s="8">
        <v>0.05</v>
      </c>
      <c r="V126" s="8">
        <v>9.0000000000000011E-2</v>
      </c>
      <c r="W126" s="8">
        <v>6.8000000000000005E-2</v>
      </c>
      <c r="X126" s="10">
        <v>0.23760000000000003</v>
      </c>
      <c r="Y126" s="8">
        <v>5.8309999999999973E-2</v>
      </c>
      <c r="Z126" s="11">
        <v>46660</v>
      </c>
      <c r="AA126" s="12"/>
      <c r="AB126" s="22">
        <f t="shared" si="11"/>
        <v>152823.85</v>
      </c>
      <c r="AC126" s="22"/>
      <c r="AD126" s="4">
        <v>25.398117420821823</v>
      </c>
      <c r="AE126" s="14">
        <f t="shared" si="12"/>
        <v>0.25568016249600006</v>
      </c>
      <c r="AF126" s="13">
        <f t="shared" si="13"/>
        <v>24.910287550000003</v>
      </c>
      <c r="AG126" s="4">
        <v>163</v>
      </c>
      <c r="AH126" s="4">
        <v>171.13533034714447</v>
      </c>
      <c r="AI126" s="4">
        <v>893</v>
      </c>
      <c r="AJ126" s="4">
        <v>650</v>
      </c>
      <c r="AK126" s="13">
        <f t="shared" si="14"/>
        <v>99.335502500000018</v>
      </c>
      <c r="AL126" s="13">
        <f t="shared" si="9"/>
        <v>63.742598599225012</v>
      </c>
      <c r="AM126" s="20">
        <v>111237.96472564391</v>
      </c>
      <c r="AN126" s="20">
        <f t="shared" si="15"/>
        <v>27895.05884658455</v>
      </c>
      <c r="AO126" s="23">
        <f t="shared" si="16"/>
        <v>0.7</v>
      </c>
      <c r="AP126" s="24">
        <f t="shared" si="17"/>
        <v>1.3821716627734322</v>
      </c>
    </row>
    <row r="127" spans="1:42" x14ac:dyDescent="0.3">
      <c r="A127" t="s">
        <v>631</v>
      </c>
      <c r="B127" s="6" t="s">
        <v>375</v>
      </c>
      <c r="C127" s="15" t="s">
        <v>519</v>
      </c>
      <c r="D127" s="5" t="s">
        <v>550</v>
      </c>
      <c r="E127" s="19">
        <v>1</v>
      </c>
      <c r="F127" s="17"/>
      <c r="G127" s="17"/>
      <c r="H127" s="17"/>
      <c r="I127" s="17"/>
      <c r="J127" s="16">
        <v>262</v>
      </c>
      <c r="K127" s="5" t="s">
        <v>119</v>
      </c>
      <c r="L127" s="6" t="s">
        <v>159</v>
      </c>
      <c r="M127" s="104"/>
      <c r="N127" s="6" t="s">
        <v>160</v>
      </c>
      <c r="O127" s="5" t="s">
        <v>714</v>
      </c>
      <c r="P127" s="6" t="s">
        <v>27</v>
      </c>
      <c r="Q127" s="7">
        <v>2026</v>
      </c>
      <c r="R127" s="8">
        <v>0.64170000000000005</v>
      </c>
      <c r="S127" s="8">
        <v>0.30000000000000004</v>
      </c>
      <c r="T127" s="9">
        <f t="shared" si="10"/>
        <v>0.94170000000000009</v>
      </c>
      <c r="U127" s="8">
        <v>0.05</v>
      </c>
      <c r="V127" s="8">
        <v>9.0000000000000011E-2</v>
      </c>
      <c r="W127" s="8">
        <v>6.8000000000000005E-2</v>
      </c>
      <c r="X127" s="10">
        <v>0.23760000000000003</v>
      </c>
      <c r="Y127" s="8">
        <v>5.8299999999999907E-2</v>
      </c>
      <c r="Z127" s="11">
        <v>46295</v>
      </c>
      <c r="AA127" s="12"/>
      <c r="AB127" s="22">
        <f t="shared" si="11"/>
        <v>132640.98000000001</v>
      </c>
      <c r="AC127" s="22"/>
      <c r="AD127" s="4">
        <v>19.620287717690889</v>
      </c>
      <c r="AE127" s="14">
        <f t="shared" si="12"/>
        <v>0.24653376000000007</v>
      </c>
      <c r="AF127" s="13">
        <f t="shared" si="13"/>
        <v>21.62047974</v>
      </c>
      <c r="AG127" s="4">
        <v>163</v>
      </c>
      <c r="AH127" s="4">
        <v>219.24128925619837</v>
      </c>
      <c r="AI127" s="4">
        <v>605</v>
      </c>
      <c r="AJ127" s="4">
        <v>600</v>
      </c>
      <c r="AK127" s="13">
        <f t="shared" si="14"/>
        <v>79.584588000000011</v>
      </c>
      <c r="AL127" s="13">
        <f t="shared" si="9"/>
        <v>51.069430119600014</v>
      </c>
      <c r="AM127" s="20">
        <v>131544.77355371902</v>
      </c>
      <c r="AN127" s="20">
        <f t="shared" si="15"/>
        <v>35736.330148760331</v>
      </c>
      <c r="AO127" s="23">
        <f t="shared" si="16"/>
        <v>0.7</v>
      </c>
      <c r="AP127" s="24">
        <f t="shared" si="17"/>
        <v>1.3508286832235206</v>
      </c>
    </row>
    <row r="128" spans="1:42" x14ac:dyDescent="0.3">
      <c r="A128" t="s">
        <v>631</v>
      </c>
      <c r="B128" s="6" t="s">
        <v>376</v>
      </c>
      <c r="C128" s="15" t="s">
        <v>519</v>
      </c>
      <c r="D128" s="5" t="s">
        <v>550</v>
      </c>
      <c r="E128" s="19">
        <v>1</v>
      </c>
      <c r="F128" s="17"/>
      <c r="G128" s="17"/>
      <c r="H128" s="17"/>
      <c r="I128" s="17"/>
      <c r="J128" s="16">
        <v>263</v>
      </c>
      <c r="K128" s="5" t="s">
        <v>119</v>
      </c>
      <c r="L128" s="6" t="s">
        <v>159</v>
      </c>
      <c r="M128" s="104"/>
      <c r="N128" s="6" t="s">
        <v>161</v>
      </c>
      <c r="O128" s="5" t="s">
        <v>715</v>
      </c>
      <c r="P128" s="6" t="s">
        <v>27</v>
      </c>
      <c r="Q128" s="7">
        <v>2027</v>
      </c>
      <c r="R128" s="8">
        <v>0.64170000000000005</v>
      </c>
      <c r="S128" s="8">
        <v>0.30000000000000004</v>
      </c>
      <c r="T128" s="9">
        <f t="shared" si="10"/>
        <v>0.94170000000000009</v>
      </c>
      <c r="U128" s="8">
        <v>0.05</v>
      </c>
      <c r="V128" s="8">
        <v>9.0000000000000011E-2</v>
      </c>
      <c r="W128" s="8">
        <v>6.8000000000000005E-2</v>
      </c>
      <c r="X128" s="10">
        <v>0.23760000000000003</v>
      </c>
      <c r="Y128" s="8">
        <v>5.8299999999999907E-2</v>
      </c>
      <c r="Z128" s="11">
        <v>46660</v>
      </c>
      <c r="AA128" s="12"/>
      <c r="AB128" s="22">
        <f t="shared" si="11"/>
        <v>227237.2</v>
      </c>
      <c r="AC128" s="22"/>
      <c r="AD128" s="4">
        <v>34.86002653268163</v>
      </c>
      <c r="AE128" s="14">
        <f t="shared" si="12"/>
        <v>0.25568016249600001</v>
      </c>
      <c r="AF128" s="13">
        <f t="shared" si="13"/>
        <v>37.039663600000004</v>
      </c>
      <c r="AG128" s="4">
        <v>163</v>
      </c>
      <c r="AH128" s="4">
        <v>229.99716599190285</v>
      </c>
      <c r="AI128" s="4">
        <v>988</v>
      </c>
      <c r="AJ128" s="4">
        <v>600</v>
      </c>
      <c r="AK128" s="13">
        <f t="shared" si="14"/>
        <v>136.34232</v>
      </c>
      <c r="AL128" s="13">
        <f t="shared" si="9"/>
        <v>87.490866744000002</v>
      </c>
      <c r="AM128" s="20">
        <v>137998.2995951417</v>
      </c>
      <c r="AN128" s="20">
        <f t="shared" si="15"/>
        <v>37489.538056680161</v>
      </c>
      <c r="AO128" s="23">
        <f t="shared" si="16"/>
        <v>0.7</v>
      </c>
      <c r="AP128" s="24">
        <f t="shared" si="17"/>
        <v>1.3273996567144928</v>
      </c>
    </row>
    <row r="129" spans="1:42" x14ac:dyDescent="0.3">
      <c r="A129" t="s">
        <v>632</v>
      </c>
      <c r="B129" s="6" t="s">
        <v>377</v>
      </c>
      <c r="C129" s="15" t="s">
        <v>518</v>
      </c>
      <c r="D129" s="5" t="s">
        <v>550</v>
      </c>
      <c r="E129" s="19">
        <v>1</v>
      </c>
      <c r="F129" s="17"/>
      <c r="G129" s="17"/>
      <c r="H129" s="17"/>
      <c r="I129" s="17"/>
      <c r="J129" s="16">
        <v>264</v>
      </c>
      <c r="K129" s="5" t="s">
        <v>119</v>
      </c>
      <c r="L129" s="6" t="s">
        <v>162</v>
      </c>
      <c r="M129" s="104"/>
      <c r="N129" s="6" t="s">
        <v>26</v>
      </c>
      <c r="O129" s="5" t="s">
        <v>715</v>
      </c>
      <c r="P129" s="6" t="s">
        <v>27</v>
      </c>
      <c r="Q129" s="7">
        <v>2032</v>
      </c>
      <c r="R129" s="8">
        <v>0.7</v>
      </c>
      <c r="S129" s="8">
        <v>0.30000000000000004</v>
      </c>
      <c r="T129" s="9">
        <f t="shared" si="10"/>
        <v>1</v>
      </c>
      <c r="U129" s="8">
        <v>0.05</v>
      </c>
      <c r="V129" s="8">
        <v>0</v>
      </c>
      <c r="W129" s="8">
        <v>6.8000000000000005E-2</v>
      </c>
      <c r="X129" s="10">
        <v>0.26460000000000006</v>
      </c>
      <c r="Y129" s="8">
        <v>0</v>
      </c>
      <c r="Z129" s="11">
        <v>48395</v>
      </c>
      <c r="AA129" s="12"/>
      <c r="AB129" s="22">
        <f t="shared" si="11"/>
        <v>167923</v>
      </c>
      <c r="AC129" s="22"/>
      <c r="AD129" s="4">
        <v>34.07247024915322</v>
      </c>
      <c r="AE129" s="14">
        <f t="shared" si="12"/>
        <v>0.33817553530639261</v>
      </c>
      <c r="AF129" s="13">
        <f t="shared" si="13"/>
        <v>27.371448999999998</v>
      </c>
      <c r="AG129" s="4">
        <v>163</v>
      </c>
      <c r="AH129" s="4">
        <v>203.29661016949152</v>
      </c>
      <c r="AI129" s="4">
        <v>826</v>
      </c>
      <c r="AJ129" s="4">
        <v>600</v>
      </c>
      <c r="AK129" s="13">
        <f t="shared" si="14"/>
        <v>100.7538</v>
      </c>
      <c r="AL129" s="13">
        <f t="shared" si="9"/>
        <v>70.527659999999997</v>
      </c>
      <c r="AM129" s="20">
        <v>121977.96610169491</v>
      </c>
      <c r="AN129" s="20">
        <f t="shared" si="15"/>
        <v>33137.347457627118</v>
      </c>
      <c r="AO129" s="23">
        <f t="shared" si="16"/>
        <v>0.7</v>
      </c>
      <c r="AP129" s="24">
        <f t="shared" si="17"/>
        <v>1.1478379123898736</v>
      </c>
    </row>
    <row r="130" spans="1:42" x14ac:dyDescent="0.3">
      <c r="A130" t="s">
        <v>633</v>
      </c>
      <c r="B130" s="6" t="s">
        <v>378</v>
      </c>
      <c r="C130" s="15" t="s">
        <v>517</v>
      </c>
      <c r="D130" s="5" t="s">
        <v>550</v>
      </c>
      <c r="E130" s="19">
        <v>1</v>
      </c>
      <c r="F130" s="17"/>
      <c r="G130" s="17"/>
      <c r="H130" s="17"/>
      <c r="I130" s="17"/>
      <c r="J130" s="16">
        <v>265</v>
      </c>
      <c r="K130" s="5" t="s">
        <v>119</v>
      </c>
      <c r="L130" s="6" t="s">
        <v>163</v>
      </c>
      <c r="M130" s="104"/>
      <c r="N130" s="6" t="s">
        <v>26</v>
      </c>
      <c r="O130" s="5" t="s">
        <v>714</v>
      </c>
      <c r="P130" s="6" t="s">
        <v>27</v>
      </c>
      <c r="Q130" s="7">
        <v>2030</v>
      </c>
      <c r="R130" s="8">
        <v>0.7</v>
      </c>
      <c r="S130" s="8">
        <v>0.30000000000000004</v>
      </c>
      <c r="T130" s="9">
        <f t="shared" ref="T130:T193" si="18">SUM(R130:S130)</f>
        <v>1</v>
      </c>
      <c r="U130" s="8">
        <v>0.05</v>
      </c>
      <c r="V130" s="8">
        <v>0</v>
      </c>
      <c r="W130" s="8">
        <v>6.8000000000000005E-2</v>
      </c>
      <c r="X130" s="10">
        <v>0.26460000000000006</v>
      </c>
      <c r="Y130" s="8">
        <v>0</v>
      </c>
      <c r="Z130" s="11">
        <v>47756</v>
      </c>
      <c r="AA130" s="12"/>
      <c r="AB130" s="22">
        <f t="shared" ref="AB130:AB193" si="19">AH130*AI130</f>
        <v>269699.39250743313</v>
      </c>
      <c r="AC130" s="22"/>
      <c r="AD130" s="4">
        <v>51.441799205429895</v>
      </c>
      <c r="AE130" s="14">
        <f t="shared" ref="AE130:AE193" si="20">IF(AK130=0,0,AD130/AK130)</f>
        <v>0.31789590333128709</v>
      </c>
      <c r="AF130" s="13">
        <f t="shared" ref="AF130:AF193" si="21">(AG130*AH130*AI130)/10^6</f>
        <v>43.961000978711603</v>
      </c>
      <c r="AG130" s="4">
        <v>163</v>
      </c>
      <c r="AH130" s="4">
        <v>269.16107036669973</v>
      </c>
      <c r="AI130" s="75">
        <v>1002</v>
      </c>
      <c r="AJ130" s="4">
        <v>600</v>
      </c>
      <c r="AK130" s="13">
        <f t="shared" ref="AK130:AK193" si="22">(AJ130*AI130*AH130)/10^6</f>
        <v>161.81963550445988</v>
      </c>
      <c r="AL130" s="13">
        <f t="shared" ref="AL130:AL193" si="23">AK130*R130</f>
        <v>113.27374485312191</v>
      </c>
      <c r="AM130" s="20">
        <v>161496.64222001983</v>
      </c>
      <c r="AN130" s="20">
        <f t="shared" ref="AN130:AN193" si="24">AG130*AH130</f>
        <v>43873.254469772059</v>
      </c>
      <c r="AO130" s="23">
        <f t="shared" si="16"/>
        <v>0.7</v>
      </c>
      <c r="AP130" s="24">
        <f t="shared" si="17"/>
        <v>1.1873209657838852</v>
      </c>
    </row>
    <row r="131" spans="1:42" x14ac:dyDescent="0.3">
      <c r="A131" t="s">
        <v>633</v>
      </c>
      <c r="B131" s="6" t="s">
        <v>379</v>
      </c>
      <c r="C131" s="15" t="s">
        <v>517</v>
      </c>
      <c r="D131" s="5" t="s">
        <v>550</v>
      </c>
      <c r="E131" s="19">
        <v>1</v>
      </c>
      <c r="F131" s="17"/>
      <c r="G131" s="17"/>
      <c r="H131" s="17"/>
      <c r="I131" s="17"/>
      <c r="J131" s="16">
        <v>266</v>
      </c>
      <c r="K131" s="5" t="s">
        <v>119</v>
      </c>
      <c r="L131" s="6" t="s">
        <v>163</v>
      </c>
      <c r="M131" s="104"/>
      <c r="N131" s="6" t="s">
        <v>143</v>
      </c>
      <c r="O131" s="5" t="s">
        <v>715</v>
      </c>
      <c r="P131" s="6" t="s">
        <v>27</v>
      </c>
      <c r="Q131" s="7">
        <v>2032</v>
      </c>
      <c r="R131" s="8">
        <v>0.7</v>
      </c>
      <c r="S131" s="8">
        <v>0.30000000000000004</v>
      </c>
      <c r="T131" s="9">
        <f t="shared" si="18"/>
        <v>1</v>
      </c>
      <c r="U131" s="8">
        <v>0.05</v>
      </c>
      <c r="V131" s="8">
        <v>0</v>
      </c>
      <c r="W131" s="8">
        <v>6.8000000000000005E-2</v>
      </c>
      <c r="X131" s="10">
        <v>0.26460000000000006</v>
      </c>
      <c r="Y131" s="8">
        <v>0</v>
      </c>
      <c r="Z131" s="11">
        <v>48487</v>
      </c>
      <c r="AA131" s="12"/>
      <c r="AB131" s="22">
        <f t="shared" si="19"/>
        <v>134500</v>
      </c>
      <c r="AC131" s="22"/>
      <c r="AD131" s="4">
        <v>27.290765699225886</v>
      </c>
      <c r="AE131" s="14">
        <f t="shared" si="20"/>
        <v>0.33817553530639266</v>
      </c>
      <c r="AF131" s="13">
        <f t="shared" si="21"/>
        <v>21.923500000000001</v>
      </c>
      <c r="AG131" s="4">
        <v>163</v>
      </c>
      <c r="AH131" s="4">
        <v>269</v>
      </c>
      <c r="AI131" s="4">
        <v>500</v>
      </c>
      <c r="AJ131" s="4">
        <v>600</v>
      </c>
      <c r="AK131" s="13">
        <f t="shared" si="22"/>
        <v>80.7</v>
      </c>
      <c r="AL131" s="13">
        <f t="shared" si="23"/>
        <v>56.489999999999995</v>
      </c>
      <c r="AM131" s="20">
        <v>161400</v>
      </c>
      <c r="AN131" s="20">
        <f t="shared" si="24"/>
        <v>43847</v>
      </c>
      <c r="AO131" s="23">
        <f t="shared" ref="AO131:AO194" si="25">R131+Y131</f>
        <v>0.7</v>
      </c>
      <c r="AP131" s="24">
        <f t="shared" ref="AP131:AP194" si="26">AK131*AO131/(AF131+AD131)</f>
        <v>1.1478379123898732</v>
      </c>
    </row>
    <row r="132" spans="1:42" x14ac:dyDescent="0.3">
      <c r="A132" t="s">
        <v>634</v>
      </c>
      <c r="B132" s="6" t="s">
        <v>380</v>
      </c>
      <c r="C132" s="15" t="s">
        <v>516</v>
      </c>
      <c r="D132" s="5" t="s">
        <v>550</v>
      </c>
      <c r="E132" s="19">
        <v>1</v>
      </c>
      <c r="F132" s="17"/>
      <c r="G132" s="17"/>
      <c r="H132" s="17"/>
      <c r="I132" s="17"/>
      <c r="J132" s="16">
        <v>267</v>
      </c>
      <c r="K132" s="5" t="s">
        <v>119</v>
      </c>
      <c r="L132" s="6" t="s">
        <v>164</v>
      </c>
      <c r="M132" s="104"/>
      <c r="N132" s="6" t="s">
        <v>165</v>
      </c>
      <c r="O132" s="5" t="s">
        <v>715</v>
      </c>
      <c r="P132" s="6" t="s">
        <v>27</v>
      </c>
      <c r="Q132" s="7">
        <v>2031</v>
      </c>
      <c r="R132" s="8">
        <v>0.7</v>
      </c>
      <c r="S132" s="8">
        <v>0.30000000000000004</v>
      </c>
      <c r="T132" s="9">
        <f t="shared" si="18"/>
        <v>1</v>
      </c>
      <c r="U132" s="8">
        <v>0.05</v>
      </c>
      <c r="V132" s="8">
        <v>0</v>
      </c>
      <c r="W132" s="8">
        <v>6.8000000000000005E-2</v>
      </c>
      <c r="X132" s="10">
        <v>0.26460000000000006</v>
      </c>
      <c r="Y132" s="8">
        <v>0</v>
      </c>
      <c r="Z132" s="11">
        <v>48212</v>
      </c>
      <c r="AA132" s="12"/>
      <c r="AB132" s="22">
        <f t="shared" si="19"/>
        <v>211978.4</v>
      </c>
      <c r="AC132" s="22"/>
      <c r="AD132" s="4">
        <v>41.557048633850798</v>
      </c>
      <c r="AE132" s="14">
        <f t="shared" si="20"/>
        <v>0.32673964763902674</v>
      </c>
      <c r="AF132" s="13">
        <f t="shared" si="21"/>
        <v>34.552479200000001</v>
      </c>
      <c r="AG132" s="4">
        <v>163</v>
      </c>
      <c r="AH132" s="4">
        <v>289.58797814207651</v>
      </c>
      <c r="AI132" s="4">
        <v>732</v>
      </c>
      <c r="AJ132" s="4">
        <v>600</v>
      </c>
      <c r="AK132" s="13">
        <f t="shared" si="22"/>
        <v>127.18704</v>
      </c>
      <c r="AL132" s="13">
        <f t="shared" si="23"/>
        <v>89.030927999999989</v>
      </c>
      <c r="AM132" s="20">
        <v>173752.78688524591</v>
      </c>
      <c r="AN132" s="20">
        <f t="shared" si="24"/>
        <v>47202.840437158469</v>
      </c>
      <c r="AO132" s="23">
        <f t="shared" si="25"/>
        <v>0.7</v>
      </c>
      <c r="AP132" s="24">
        <f t="shared" si="26"/>
        <v>1.1697737528257561</v>
      </c>
    </row>
    <row r="133" spans="1:42" x14ac:dyDescent="0.3">
      <c r="A133" t="s">
        <v>635</v>
      </c>
      <c r="B133" s="6" t="s">
        <v>570</v>
      </c>
      <c r="C133" s="15" t="s">
        <v>515</v>
      </c>
      <c r="D133" s="5" t="s">
        <v>550</v>
      </c>
      <c r="E133" s="19">
        <v>1</v>
      </c>
      <c r="F133" s="17"/>
      <c r="G133" s="17"/>
      <c r="H133" s="17"/>
      <c r="I133" s="17"/>
      <c r="J133" s="16">
        <v>268</v>
      </c>
      <c r="K133" s="5" t="s">
        <v>119</v>
      </c>
      <c r="L133" s="6" t="s">
        <v>166</v>
      </c>
      <c r="M133" s="104"/>
      <c r="N133" s="6" t="s">
        <v>26</v>
      </c>
      <c r="O133" s="5" t="s">
        <v>715</v>
      </c>
      <c r="P133" s="6" t="s">
        <v>27</v>
      </c>
      <c r="Q133" s="7">
        <v>2032</v>
      </c>
      <c r="R133" s="8">
        <v>0.7</v>
      </c>
      <c r="S133" s="8">
        <v>0.30000000000000004</v>
      </c>
      <c r="T133" s="9">
        <f t="shared" si="18"/>
        <v>1</v>
      </c>
      <c r="U133" s="8">
        <v>0.05</v>
      </c>
      <c r="V133" s="8">
        <v>0</v>
      </c>
      <c r="W133" s="8">
        <v>6.8000000000000005E-2</v>
      </c>
      <c r="X133" s="10">
        <v>0.26460000000000006</v>
      </c>
      <c r="Y133" s="8">
        <v>0</v>
      </c>
      <c r="Z133" s="11">
        <v>48578</v>
      </c>
      <c r="AA133" s="12"/>
      <c r="AB133" s="22">
        <f t="shared" si="19"/>
        <v>96864</v>
      </c>
      <c r="AC133" s="22"/>
      <c r="AD133" s="4">
        <v>19.654221031151049</v>
      </c>
      <c r="AE133" s="14">
        <f t="shared" si="20"/>
        <v>0.33817553530639261</v>
      </c>
      <c r="AF133" s="13">
        <f t="shared" si="21"/>
        <v>15.788831999999999</v>
      </c>
      <c r="AG133" s="4">
        <v>163</v>
      </c>
      <c r="AH133" s="4">
        <v>232.28776978417267</v>
      </c>
      <c r="AI133" s="4">
        <v>417</v>
      </c>
      <c r="AJ133" s="4">
        <v>600</v>
      </c>
      <c r="AK133" s="13">
        <f t="shared" si="22"/>
        <v>58.118400000000001</v>
      </c>
      <c r="AL133" s="13">
        <f t="shared" si="23"/>
        <v>40.682879999999997</v>
      </c>
      <c r="AM133" s="20">
        <v>139372.66187050359</v>
      </c>
      <c r="AN133" s="20">
        <f t="shared" si="24"/>
        <v>37862.906474820142</v>
      </c>
      <c r="AO133" s="23">
        <f t="shared" si="25"/>
        <v>0.7</v>
      </c>
      <c r="AP133" s="24">
        <f t="shared" si="26"/>
        <v>1.1478379123898734</v>
      </c>
    </row>
    <row r="134" spans="1:42" x14ac:dyDescent="0.3">
      <c r="A134" t="s">
        <v>636</v>
      </c>
      <c r="B134" s="6" t="s">
        <v>381</v>
      </c>
      <c r="C134" s="15" t="s">
        <v>514</v>
      </c>
      <c r="D134" s="5" t="s">
        <v>550</v>
      </c>
      <c r="E134" s="19">
        <v>1</v>
      </c>
      <c r="F134" s="17"/>
      <c r="G134" s="17"/>
      <c r="H134" s="17"/>
      <c r="I134" s="17"/>
      <c r="J134" s="16">
        <v>269</v>
      </c>
      <c r="K134" s="5" t="s">
        <v>119</v>
      </c>
      <c r="L134" s="6" t="s">
        <v>167</v>
      </c>
      <c r="M134" s="104"/>
      <c r="N134" s="6" t="s">
        <v>26</v>
      </c>
      <c r="O134" s="5" t="s">
        <v>715</v>
      </c>
      <c r="P134" s="6" t="s">
        <v>27</v>
      </c>
      <c r="Q134" s="7">
        <v>2030</v>
      </c>
      <c r="R134" s="8">
        <v>0.7</v>
      </c>
      <c r="S134" s="8">
        <v>0.30000000000000004</v>
      </c>
      <c r="T134" s="9">
        <f t="shared" si="18"/>
        <v>1</v>
      </c>
      <c r="U134" s="8">
        <v>0.05</v>
      </c>
      <c r="V134" s="8">
        <v>0</v>
      </c>
      <c r="W134" s="8">
        <v>6.8000000000000005E-2</v>
      </c>
      <c r="X134" s="10">
        <v>0.26460000000000006</v>
      </c>
      <c r="Y134" s="8">
        <v>0</v>
      </c>
      <c r="Z134" s="11">
        <v>47756</v>
      </c>
      <c r="AA134" s="12"/>
      <c r="AB134" s="22">
        <f t="shared" si="19"/>
        <v>167801.36333333334</v>
      </c>
      <c r="AC134" s="22"/>
      <c r="AD134" s="4">
        <v>31.783975842829932</v>
      </c>
      <c r="AE134" s="14">
        <f t="shared" si="20"/>
        <v>0.31569048081065382</v>
      </c>
      <c r="AF134" s="13">
        <f t="shared" si="21"/>
        <v>27.351622223333337</v>
      </c>
      <c r="AG134" s="4">
        <v>163</v>
      </c>
      <c r="AH134" s="4">
        <v>180.43157347670251</v>
      </c>
      <c r="AI134" s="4">
        <v>930</v>
      </c>
      <c r="AJ134" s="4">
        <v>600</v>
      </c>
      <c r="AK134" s="13">
        <f t="shared" si="22"/>
        <v>100.680818</v>
      </c>
      <c r="AL134" s="13">
        <f t="shared" si="23"/>
        <v>70.476572599999997</v>
      </c>
      <c r="AM134" s="20">
        <v>108258.94408602151</v>
      </c>
      <c r="AN134" s="20">
        <f t="shared" si="24"/>
        <v>29410.346476702511</v>
      </c>
      <c r="AO134" s="23">
        <f t="shared" si="25"/>
        <v>0.7</v>
      </c>
      <c r="AP134" s="24">
        <f t="shared" si="26"/>
        <v>1.1917791466511929</v>
      </c>
    </row>
    <row r="135" spans="1:42" x14ac:dyDescent="0.3">
      <c r="A135" t="s">
        <v>636</v>
      </c>
      <c r="B135" s="6" t="s">
        <v>381</v>
      </c>
      <c r="C135" s="15" t="s">
        <v>514</v>
      </c>
      <c r="D135" s="5" t="s">
        <v>550</v>
      </c>
      <c r="E135" s="19">
        <v>1</v>
      </c>
      <c r="F135" s="17"/>
      <c r="G135" s="17"/>
      <c r="H135" s="17"/>
      <c r="I135" s="17"/>
      <c r="J135" s="16">
        <v>270</v>
      </c>
      <c r="K135" s="5" t="s">
        <v>119</v>
      </c>
      <c r="L135" s="6" t="s">
        <v>167</v>
      </c>
      <c r="M135" s="104"/>
      <c r="N135" s="6" t="s">
        <v>26</v>
      </c>
      <c r="O135" s="5" t="s">
        <v>715</v>
      </c>
      <c r="P135" s="6" t="s">
        <v>27</v>
      </c>
      <c r="Q135" s="7">
        <v>2031</v>
      </c>
      <c r="R135" s="8">
        <v>0.7</v>
      </c>
      <c r="S135" s="8">
        <v>0.30000000000000004</v>
      </c>
      <c r="T135" s="9">
        <f t="shared" si="18"/>
        <v>1</v>
      </c>
      <c r="U135" s="8">
        <v>0.05</v>
      </c>
      <c r="V135" s="8">
        <v>0</v>
      </c>
      <c r="W135" s="8">
        <v>6.8000000000000005E-2</v>
      </c>
      <c r="X135" s="10">
        <v>0.26460000000000006</v>
      </c>
      <c r="Y135" s="8">
        <v>0</v>
      </c>
      <c r="Z135" s="11">
        <v>48121</v>
      </c>
      <c r="AA135" s="12"/>
      <c r="AB135" s="22">
        <f t="shared" si="19"/>
        <v>167801.36333333334</v>
      </c>
      <c r="AC135" s="22"/>
      <c r="AD135" s="4">
        <v>32.896414997328982</v>
      </c>
      <c r="AE135" s="14">
        <f t="shared" si="20"/>
        <v>0.32673964763902674</v>
      </c>
      <c r="AF135" s="13">
        <f t="shared" si="21"/>
        <v>27.351622223333337</v>
      </c>
      <c r="AG135" s="4">
        <v>163</v>
      </c>
      <c r="AH135" s="4">
        <v>180.43157347670251</v>
      </c>
      <c r="AI135" s="4">
        <v>930</v>
      </c>
      <c r="AJ135" s="4">
        <v>600</v>
      </c>
      <c r="AK135" s="13">
        <f t="shared" si="22"/>
        <v>100.680818</v>
      </c>
      <c r="AL135" s="13">
        <f t="shared" si="23"/>
        <v>70.476572599999997</v>
      </c>
      <c r="AM135" s="20">
        <v>108258.94408602151</v>
      </c>
      <c r="AN135" s="20">
        <f t="shared" si="24"/>
        <v>29410.346476702511</v>
      </c>
      <c r="AO135" s="23">
        <f t="shared" si="25"/>
        <v>0.7</v>
      </c>
      <c r="AP135" s="24">
        <f t="shared" si="26"/>
        <v>1.1697737528257561</v>
      </c>
    </row>
    <row r="136" spans="1:42" x14ac:dyDescent="0.3">
      <c r="A136" t="s">
        <v>636</v>
      </c>
      <c r="B136" s="6" t="s">
        <v>381</v>
      </c>
      <c r="C136" s="15" t="s">
        <v>514</v>
      </c>
      <c r="D136" s="5" t="s">
        <v>550</v>
      </c>
      <c r="E136" s="19">
        <v>1</v>
      </c>
      <c r="F136" s="17"/>
      <c r="G136" s="17"/>
      <c r="H136" s="17"/>
      <c r="I136" s="17"/>
      <c r="J136" s="16">
        <v>271</v>
      </c>
      <c r="K136" s="5" t="s">
        <v>119</v>
      </c>
      <c r="L136" s="6" t="s">
        <v>167</v>
      </c>
      <c r="M136" s="104"/>
      <c r="N136" s="6" t="s">
        <v>26</v>
      </c>
      <c r="O136" s="5" t="s">
        <v>715</v>
      </c>
      <c r="P136" s="6" t="s">
        <v>27</v>
      </c>
      <c r="Q136" s="7">
        <v>2032</v>
      </c>
      <c r="R136" s="8">
        <v>0.7</v>
      </c>
      <c r="S136" s="8">
        <v>0.30000000000000004</v>
      </c>
      <c r="T136" s="9">
        <f t="shared" si="18"/>
        <v>1</v>
      </c>
      <c r="U136" s="8">
        <v>0.05</v>
      </c>
      <c r="V136" s="8">
        <v>0</v>
      </c>
      <c r="W136" s="8">
        <v>6.8000000000000005E-2</v>
      </c>
      <c r="X136" s="10">
        <v>0.26460000000000006</v>
      </c>
      <c r="Y136" s="8">
        <v>0</v>
      </c>
      <c r="Z136" s="11">
        <v>48487</v>
      </c>
      <c r="AA136" s="12"/>
      <c r="AB136" s="22">
        <f t="shared" si="19"/>
        <v>167801.36333333334</v>
      </c>
      <c r="AC136" s="22"/>
      <c r="AD136" s="4">
        <v>34.047789522235497</v>
      </c>
      <c r="AE136" s="14">
        <f t="shared" si="20"/>
        <v>0.33817553530639272</v>
      </c>
      <c r="AF136" s="13">
        <f t="shared" si="21"/>
        <v>27.351622223333337</v>
      </c>
      <c r="AG136" s="4">
        <v>163</v>
      </c>
      <c r="AH136" s="4">
        <v>180.43157347670251</v>
      </c>
      <c r="AI136" s="4">
        <v>930</v>
      </c>
      <c r="AJ136" s="4">
        <v>600</v>
      </c>
      <c r="AK136" s="13">
        <f t="shared" si="22"/>
        <v>100.680818</v>
      </c>
      <c r="AL136" s="13">
        <f t="shared" si="23"/>
        <v>70.476572599999997</v>
      </c>
      <c r="AM136" s="20">
        <v>108258.94408602151</v>
      </c>
      <c r="AN136" s="20">
        <f t="shared" si="24"/>
        <v>29410.346476702511</v>
      </c>
      <c r="AO136" s="23">
        <f t="shared" si="25"/>
        <v>0.7</v>
      </c>
      <c r="AP136" s="24">
        <f t="shared" si="26"/>
        <v>1.1478379123898732</v>
      </c>
    </row>
    <row r="137" spans="1:42" x14ac:dyDescent="0.3">
      <c r="A137" t="s">
        <v>637</v>
      </c>
      <c r="B137" s="6" t="s">
        <v>382</v>
      </c>
      <c r="C137" s="15" t="s">
        <v>513</v>
      </c>
      <c r="D137" s="5" t="s">
        <v>550</v>
      </c>
      <c r="E137" s="19">
        <v>1</v>
      </c>
      <c r="F137" s="17"/>
      <c r="G137" s="17"/>
      <c r="H137" s="17"/>
      <c r="I137" s="17"/>
      <c r="J137" s="16">
        <v>272</v>
      </c>
      <c r="K137" s="5" t="s">
        <v>168</v>
      </c>
      <c r="L137" s="6" t="s">
        <v>169</v>
      </c>
      <c r="M137" s="104"/>
      <c r="N137" s="6" t="s">
        <v>170</v>
      </c>
      <c r="O137" s="5" t="s">
        <v>714</v>
      </c>
      <c r="P137" s="6" t="s">
        <v>27</v>
      </c>
      <c r="Q137" s="7">
        <v>2027</v>
      </c>
      <c r="R137" s="8">
        <v>0.57199999999999995</v>
      </c>
      <c r="S137" s="8">
        <v>0.28500000000000003</v>
      </c>
      <c r="T137" s="9">
        <f t="shared" si="18"/>
        <v>0.85699999999999998</v>
      </c>
      <c r="U137" s="8">
        <v>7.0000000000000007E-2</v>
      </c>
      <c r="V137" s="8">
        <v>0</v>
      </c>
      <c r="W137" s="8">
        <v>6.8000000000000005E-2</v>
      </c>
      <c r="X137" s="10">
        <v>0.24567000000000003</v>
      </c>
      <c r="Y137" s="8">
        <v>0.14300000000000002</v>
      </c>
      <c r="Z137" s="11">
        <v>46752</v>
      </c>
      <c r="AA137" s="12"/>
      <c r="AB137" s="76">
        <v>88108</v>
      </c>
      <c r="AC137" s="76"/>
      <c r="AD137" s="4">
        <v>18.92919294175595</v>
      </c>
      <c r="AE137" s="14">
        <f t="shared" si="20"/>
        <v>0.35821435760430764</v>
      </c>
      <c r="AF137" s="13">
        <f t="shared" si="21"/>
        <v>15.412599999999999</v>
      </c>
      <c r="AG137" s="4">
        <v>175</v>
      </c>
      <c r="AH137" s="75">
        <v>218</v>
      </c>
      <c r="AI137" s="75">
        <v>404</v>
      </c>
      <c r="AJ137" s="26">
        <v>600</v>
      </c>
      <c r="AK137" s="13">
        <f t="shared" si="22"/>
        <v>52.843200000000003</v>
      </c>
      <c r="AL137" s="13">
        <f t="shared" si="23"/>
        <v>30.226310399999999</v>
      </c>
      <c r="AM137" s="27">
        <v>131946</v>
      </c>
      <c r="AN137" s="20">
        <f t="shared" si="24"/>
        <v>38150</v>
      </c>
      <c r="AO137" s="23">
        <f t="shared" si="25"/>
        <v>0.71499999999999997</v>
      </c>
      <c r="AP137" s="24">
        <f t="shared" si="26"/>
        <v>1.100201380402013</v>
      </c>
    </row>
    <row r="138" spans="1:42" x14ac:dyDescent="0.3">
      <c r="A138" t="s">
        <v>637</v>
      </c>
      <c r="B138" s="6" t="s">
        <v>383</v>
      </c>
      <c r="C138" s="15" t="s">
        <v>513</v>
      </c>
      <c r="D138" s="5" t="s">
        <v>550</v>
      </c>
      <c r="E138" s="19">
        <v>1</v>
      </c>
      <c r="F138" s="17"/>
      <c r="G138" s="17"/>
      <c r="H138" s="17"/>
      <c r="I138" s="17"/>
      <c r="J138" s="16">
        <v>273</v>
      </c>
      <c r="K138" s="5" t="s">
        <v>168</v>
      </c>
      <c r="L138" s="6" t="s">
        <v>169</v>
      </c>
      <c r="M138" s="104"/>
      <c r="N138" s="6" t="s">
        <v>171</v>
      </c>
      <c r="O138" s="5" t="s">
        <v>715</v>
      </c>
      <c r="P138" s="6" t="s">
        <v>27</v>
      </c>
      <c r="Q138" s="7">
        <v>2028</v>
      </c>
      <c r="R138" s="8">
        <v>0.8</v>
      </c>
      <c r="S138" s="8">
        <v>0</v>
      </c>
      <c r="T138" s="9">
        <f t="shared" si="18"/>
        <v>0.8</v>
      </c>
      <c r="U138" s="8"/>
      <c r="V138" s="8"/>
      <c r="W138" s="8"/>
      <c r="X138" s="10">
        <v>0</v>
      </c>
      <c r="Y138" s="8">
        <v>0.19999999999999996</v>
      </c>
      <c r="Z138" s="11">
        <v>47118</v>
      </c>
      <c r="AA138" s="12"/>
      <c r="AB138" s="22">
        <f t="shared" si="19"/>
        <v>46181.9</v>
      </c>
      <c r="AC138" s="22"/>
      <c r="AD138" s="4">
        <v>0</v>
      </c>
      <c r="AE138" s="14">
        <f t="shared" si="20"/>
        <v>0</v>
      </c>
      <c r="AF138" s="13">
        <f t="shared" si="21"/>
        <v>8.0818325000000009</v>
      </c>
      <c r="AG138" s="4">
        <v>175</v>
      </c>
      <c r="AH138" s="4">
        <v>219.91380952380953</v>
      </c>
      <c r="AI138" s="4">
        <v>210</v>
      </c>
      <c r="AJ138" s="26">
        <v>600</v>
      </c>
      <c r="AK138" s="13">
        <f t="shared" si="22"/>
        <v>27.709140000000001</v>
      </c>
      <c r="AL138" s="13">
        <f t="shared" si="23"/>
        <v>22.167312000000003</v>
      </c>
      <c r="AM138" s="27">
        <v>131948.29</v>
      </c>
      <c r="AN138" s="20">
        <f t="shared" si="24"/>
        <v>38484.916666666672</v>
      </c>
      <c r="AO138" s="23">
        <f t="shared" si="25"/>
        <v>1</v>
      </c>
      <c r="AP138" s="24">
        <f t="shared" si="26"/>
        <v>3.4285714285714284</v>
      </c>
    </row>
    <row r="139" spans="1:42" x14ac:dyDescent="0.3">
      <c r="A139" t="s">
        <v>637</v>
      </c>
      <c r="B139" s="6" t="s">
        <v>384</v>
      </c>
      <c r="C139" s="15" t="s">
        <v>513</v>
      </c>
      <c r="D139" s="5" t="s">
        <v>550</v>
      </c>
      <c r="E139" s="19">
        <v>1</v>
      </c>
      <c r="F139" s="17"/>
      <c r="G139" s="17"/>
      <c r="H139" s="17"/>
      <c r="I139" s="17"/>
      <c r="J139" s="16">
        <v>274</v>
      </c>
      <c r="K139" s="5" t="s">
        <v>168</v>
      </c>
      <c r="L139" s="6" t="s">
        <v>169</v>
      </c>
      <c r="M139" s="104"/>
      <c r="N139" s="6" t="s">
        <v>172</v>
      </c>
      <c r="O139" s="5" t="s">
        <v>714</v>
      </c>
      <c r="P139" s="6" t="s">
        <v>27</v>
      </c>
      <c r="Q139" s="7">
        <v>2029</v>
      </c>
      <c r="R139" s="8">
        <v>0.57199999999999995</v>
      </c>
      <c r="S139" s="8">
        <v>0.28500000000000003</v>
      </c>
      <c r="T139" s="9">
        <f t="shared" si="18"/>
        <v>0.85699999999999998</v>
      </c>
      <c r="U139" s="8">
        <v>7.0000000000000007E-2</v>
      </c>
      <c r="V139" s="8">
        <v>0</v>
      </c>
      <c r="W139" s="8">
        <v>6.8000000000000005E-2</v>
      </c>
      <c r="X139" s="10">
        <v>0.24567000000000003</v>
      </c>
      <c r="Y139" s="8">
        <v>0.14300000000000002</v>
      </c>
      <c r="Z139" s="11">
        <v>47208</v>
      </c>
      <c r="AA139" s="12"/>
      <c r="AB139" s="76">
        <v>88108</v>
      </c>
      <c r="AC139" s="76"/>
      <c r="AD139" s="4">
        <v>8.9092704183395952</v>
      </c>
      <c r="AE139" s="14">
        <f t="shared" si="20"/>
        <v>0.16859823815248878</v>
      </c>
      <c r="AF139" s="13">
        <f t="shared" si="21"/>
        <v>15.412599999999999</v>
      </c>
      <c r="AG139" s="4">
        <v>175</v>
      </c>
      <c r="AH139" s="75">
        <v>218</v>
      </c>
      <c r="AI139" s="75">
        <v>404</v>
      </c>
      <c r="AJ139" s="26">
        <v>600</v>
      </c>
      <c r="AK139" s="13">
        <f t="shared" si="22"/>
        <v>52.843200000000003</v>
      </c>
      <c r="AL139" s="13">
        <f t="shared" si="23"/>
        <v>30.226310399999999</v>
      </c>
      <c r="AM139" s="27">
        <v>156000</v>
      </c>
      <c r="AN139" s="20">
        <f t="shared" si="24"/>
        <v>38150</v>
      </c>
      <c r="AO139" s="23">
        <f t="shared" si="25"/>
        <v>0.71499999999999997</v>
      </c>
      <c r="AP139" s="24">
        <f t="shared" si="26"/>
        <v>1.5534532233799874</v>
      </c>
    </row>
    <row r="140" spans="1:42" x14ac:dyDescent="0.3">
      <c r="A140" t="s">
        <v>637</v>
      </c>
      <c r="B140" s="6" t="s">
        <v>385</v>
      </c>
      <c r="C140" s="15" t="s">
        <v>513</v>
      </c>
      <c r="D140" s="5" t="s">
        <v>550</v>
      </c>
      <c r="E140" s="19">
        <v>1</v>
      </c>
      <c r="F140" s="17"/>
      <c r="G140" s="17"/>
      <c r="H140" s="17"/>
      <c r="I140" s="17"/>
      <c r="J140" s="16">
        <v>275</v>
      </c>
      <c r="K140" s="5" t="s">
        <v>168</v>
      </c>
      <c r="L140" s="6" t="s">
        <v>169</v>
      </c>
      <c r="M140" s="104"/>
      <c r="N140" s="6" t="s">
        <v>173</v>
      </c>
      <c r="O140" s="5" t="s">
        <v>715</v>
      </c>
      <c r="P140" s="6" t="s">
        <v>27</v>
      </c>
      <c r="Q140" s="7">
        <v>2028</v>
      </c>
      <c r="R140" s="8">
        <v>0.8</v>
      </c>
      <c r="S140" s="8">
        <v>0</v>
      </c>
      <c r="T140" s="9">
        <f t="shared" si="18"/>
        <v>0.8</v>
      </c>
      <c r="U140" s="8"/>
      <c r="V140" s="8"/>
      <c r="W140" s="8"/>
      <c r="X140" s="10">
        <v>0</v>
      </c>
      <c r="Y140" s="8">
        <v>0.19999999999999996</v>
      </c>
      <c r="Z140" s="11">
        <v>47118</v>
      </c>
      <c r="AA140" s="12"/>
      <c r="AB140" s="22">
        <f t="shared" si="19"/>
        <v>20280</v>
      </c>
      <c r="AC140" s="22"/>
      <c r="AD140" s="4">
        <v>0</v>
      </c>
      <c r="AE140" s="14">
        <f t="shared" si="20"/>
        <v>0</v>
      </c>
      <c r="AF140" s="13">
        <f t="shared" si="21"/>
        <v>3.5489999999999999</v>
      </c>
      <c r="AG140" s="4">
        <v>175</v>
      </c>
      <c r="AH140" s="4">
        <v>260</v>
      </c>
      <c r="AI140" s="4">
        <v>78</v>
      </c>
      <c r="AJ140" s="26">
        <v>600</v>
      </c>
      <c r="AK140" s="13">
        <f t="shared" si="22"/>
        <v>12.167999999999999</v>
      </c>
      <c r="AL140" s="13">
        <f t="shared" si="23"/>
        <v>9.7344000000000008</v>
      </c>
      <c r="AM140" s="27">
        <v>156000</v>
      </c>
      <c r="AN140" s="20">
        <f t="shared" si="24"/>
        <v>45500</v>
      </c>
      <c r="AO140" s="23">
        <f t="shared" si="25"/>
        <v>1</v>
      </c>
      <c r="AP140" s="24">
        <f t="shared" si="26"/>
        <v>3.4285714285714284</v>
      </c>
    </row>
    <row r="141" spans="1:42" x14ac:dyDescent="0.3">
      <c r="A141" t="s">
        <v>638</v>
      </c>
      <c r="B141" s="6" t="s">
        <v>386</v>
      </c>
      <c r="C141" s="15" t="s">
        <v>512</v>
      </c>
      <c r="D141" s="5" t="s">
        <v>550</v>
      </c>
      <c r="E141" s="19">
        <v>1</v>
      </c>
      <c r="F141" s="17"/>
      <c r="G141" s="17"/>
      <c r="H141" s="17"/>
      <c r="I141" s="17"/>
      <c r="J141" s="16">
        <v>276</v>
      </c>
      <c r="K141" s="5" t="s">
        <v>168</v>
      </c>
      <c r="L141" s="6" t="s">
        <v>174</v>
      </c>
      <c r="M141" s="104"/>
      <c r="N141" s="6" t="s">
        <v>175</v>
      </c>
      <c r="O141" s="5" t="s">
        <v>714</v>
      </c>
      <c r="P141" s="6" t="s">
        <v>27</v>
      </c>
      <c r="Q141" s="7">
        <v>2028</v>
      </c>
      <c r="R141" s="8">
        <v>0.56000000000000005</v>
      </c>
      <c r="S141" s="8">
        <v>0.29999999999999993</v>
      </c>
      <c r="T141" s="9">
        <f t="shared" si="18"/>
        <v>0.86</v>
      </c>
      <c r="U141" s="8">
        <v>7.0000000000000007E-2</v>
      </c>
      <c r="V141" s="8">
        <v>9.5000000000000001E-2</v>
      </c>
      <c r="W141" s="8">
        <v>6.8000000000000005E-2</v>
      </c>
      <c r="X141" s="10">
        <v>0.23009999999999994</v>
      </c>
      <c r="Y141" s="8">
        <v>0.14000000000000001</v>
      </c>
      <c r="Z141" s="11">
        <v>47118</v>
      </c>
      <c r="AA141" s="12"/>
      <c r="AB141" s="22">
        <f t="shared" si="19"/>
        <v>253084.43999999997</v>
      </c>
      <c r="AC141" s="22"/>
      <c r="AD141" s="4">
        <v>41.628156495889819</v>
      </c>
      <c r="AE141" s="14">
        <f t="shared" si="20"/>
        <v>0.25305118594404435</v>
      </c>
      <c r="AF141" s="13">
        <f t="shared" si="21"/>
        <v>44.289776999999994</v>
      </c>
      <c r="AG141" s="4">
        <v>175</v>
      </c>
      <c r="AH141" s="75">
        <v>212.67599999999999</v>
      </c>
      <c r="AI141" s="4">
        <v>1190</v>
      </c>
      <c r="AJ141" s="4">
        <v>650</v>
      </c>
      <c r="AK141" s="13">
        <f t="shared" si="22"/>
        <v>164.504886</v>
      </c>
      <c r="AL141" s="13">
        <f t="shared" si="23"/>
        <v>92.122736160000002</v>
      </c>
      <c r="AM141" s="20">
        <v>136500</v>
      </c>
      <c r="AN141" s="20">
        <f t="shared" si="24"/>
        <v>37218.299999999996</v>
      </c>
      <c r="AO141" s="23">
        <f t="shared" si="25"/>
        <v>0.70000000000000007</v>
      </c>
      <c r="AP141" s="24">
        <f t="shared" si="26"/>
        <v>1.3402722285622568</v>
      </c>
    </row>
    <row r="142" spans="1:42" x14ac:dyDescent="0.3">
      <c r="A142" t="s">
        <v>638</v>
      </c>
      <c r="B142" s="6" t="s">
        <v>387</v>
      </c>
      <c r="C142" s="15" t="s">
        <v>512</v>
      </c>
      <c r="D142" s="5" t="s">
        <v>550</v>
      </c>
      <c r="E142" s="19">
        <v>1</v>
      </c>
      <c r="F142" s="17"/>
      <c r="G142" s="17"/>
      <c r="H142" s="17"/>
      <c r="I142" s="17"/>
      <c r="J142" s="16">
        <v>277</v>
      </c>
      <c r="K142" s="5" t="s">
        <v>168</v>
      </c>
      <c r="L142" s="6" t="s">
        <v>174</v>
      </c>
      <c r="M142" s="104"/>
      <c r="N142" s="6" t="s">
        <v>176</v>
      </c>
      <c r="O142" s="5" t="s">
        <v>714</v>
      </c>
      <c r="P142" s="6" t="s">
        <v>27</v>
      </c>
      <c r="Q142" s="7">
        <v>2030</v>
      </c>
      <c r="R142" s="8">
        <v>0.56000000000000005</v>
      </c>
      <c r="S142" s="8">
        <v>0.29999999999999993</v>
      </c>
      <c r="T142" s="9">
        <f t="shared" si="18"/>
        <v>0.86</v>
      </c>
      <c r="U142" s="8">
        <v>7.0000000000000007E-2</v>
      </c>
      <c r="V142" s="8">
        <v>9.5000000000000001E-2</v>
      </c>
      <c r="W142" s="8">
        <v>6.8000000000000005E-2</v>
      </c>
      <c r="X142" s="10">
        <v>0.23009999999999994</v>
      </c>
      <c r="Y142" s="8">
        <v>0.14000000000000001</v>
      </c>
      <c r="Z142" s="11">
        <v>47848</v>
      </c>
      <c r="AA142" s="12"/>
      <c r="AB142" s="22">
        <f t="shared" si="19"/>
        <v>188921.595</v>
      </c>
      <c r="AC142" s="22"/>
      <c r="AD142" s="4">
        <v>44.593121942309565</v>
      </c>
      <c r="AE142" s="14">
        <f t="shared" si="20"/>
        <v>0.36313902065123133</v>
      </c>
      <c r="AF142" s="13">
        <f t="shared" si="21"/>
        <v>33.061279125000006</v>
      </c>
      <c r="AG142" s="4">
        <v>175</v>
      </c>
      <c r="AH142" s="75">
        <v>203.14150000000001</v>
      </c>
      <c r="AI142" s="75">
        <v>930</v>
      </c>
      <c r="AJ142" s="4">
        <v>650</v>
      </c>
      <c r="AK142" s="13">
        <f t="shared" si="22"/>
        <v>122.79903675</v>
      </c>
      <c r="AL142" s="13">
        <f t="shared" si="23"/>
        <v>68.767460580000005</v>
      </c>
      <c r="AM142" s="20">
        <v>136500</v>
      </c>
      <c r="AN142" s="20">
        <f t="shared" si="24"/>
        <v>35549.762500000004</v>
      </c>
      <c r="AO142" s="23">
        <f t="shared" si="25"/>
        <v>0.70000000000000007</v>
      </c>
      <c r="AP142" s="24">
        <f t="shared" si="26"/>
        <v>1.1069472501692708</v>
      </c>
    </row>
    <row r="143" spans="1:42" x14ac:dyDescent="0.3">
      <c r="A143" t="s">
        <v>638</v>
      </c>
      <c r="B143" s="6" t="s">
        <v>388</v>
      </c>
      <c r="C143" s="15" t="s">
        <v>512</v>
      </c>
      <c r="D143" s="5" t="s">
        <v>550</v>
      </c>
      <c r="E143" s="19">
        <v>1</v>
      </c>
      <c r="F143" s="17"/>
      <c r="G143" s="17"/>
      <c r="H143" s="17"/>
      <c r="I143" s="17"/>
      <c r="J143" s="16">
        <v>278</v>
      </c>
      <c r="K143" s="5" t="s">
        <v>168</v>
      </c>
      <c r="L143" s="6" t="s">
        <v>174</v>
      </c>
      <c r="M143" s="104"/>
      <c r="N143" s="6" t="s">
        <v>177</v>
      </c>
      <c r="O143" s="5" t="s">
        <v>715</v>
      </c>
      <c r="P143" s="6" t="s">
        <v>27</v>
      </c>
      <c r="Q143" s="7">
        <v>2029</v>
      </c>
      <c r="R143" s="8">
        <v>0.56000000000000005</v>
      </c>
      <c r="S143" s="8">
        <v>0.29999999999999993</v>
      </c>
      <c r="T143" s="9">
        <f t="shared" si="18"/>
        <v>0.86</v>
      </c>
      <c r="U143" s="8">
        <v>7.0000000000000007E-2</v>
      </c>
      <c r="V143" s="8">
        <v>9.5000000000000001E-2</v>
      </c>
      <c r="W143" s="8">
        <v>6.8000000000000005E-2</v>
      </c>
      <c r="X143" s="10">
        <v>0.23009999999999994</v>
      </c>
      <c r="Y143" s="8">
        <v>0.14000000000000001</v>
      </c>
      <c r="Z143" s="11">
        <v>47483</v>
      </c>
      <c r="AA143" s="12"/>
      <c r="AB143" s="22">
        <f t="shared" si="19"/>
        <v>220066.66666666669</v>
      </c>
      <c r="AC143" s="22"/>
      <c r="AD143" s="4">
        <v>37.94159094402692</v>
      </c>
      <c r="AE143" s="14">
        <f t="shared" si="20"/>
        <v>0.26524543339333245</v>
      </c>
      <c r="AF143" s="13">
        <f t="shared" si="21"/>
        <v>38.51166666666667</v>
      </c>
      <c r="AG143" s="4">
        <v>175</v>
      </c>
      <c r="AH143" s="4">
        <v>269.03015484922577</v>
      </c>
      <c r="AI143" s="4">
        <v>818</v>
      </c>
      <c r="AJ143" s="4">
        <v>650</v>
      </c>
      <c r="AK143" s="13">
        <f t="shared" si="22"/>
        <v>143.04333333333335</v>
      </c>
      <c r="AL143" s="13">
        <f t="shared" si="23"/>
        <v>80.104266666666689</v>
      </c>
      <c r="AM143" s="20">
        <v>174869.60065199673</v>
      </c>
      <c r="AN143" s="20">
        <f t="shared" si="24"/>
        <v>47080.277098614511</v>
      </c>
      <c r="AO143" s="23">
        <f t="shared" si="25"/>
        <v>0.70000000000000007</v>
      </c>
      <c r="AP143" s="24">
        <f t="shared" si="26"/>
        <v>1.3096934841312509</v>
      </c>
    </row>
    <row r="144" spans="1:42" x14ac:dyDescent="0.3">
      <c r="A144" t="s">
        <v>639</v>
      </c>
      <c r="B144" s="6" t="s">
        <v>389</v>
      </c>
      <c r="C144" s="15" t="s">
        <v>512</v>
      </c>
      <c r="D144" s="5" t="s">
        <v>550</v>
      </c>
      <c r="E144" s="19">
        <v>1</v>
      </c>
      <c r="F144" s="17"/>
      <c r="G144" s="17"/>
      <c r="H144" s="17"/>
      <c r="I144" s="17"/>
      <c r="J144" s="16">
        <v>279</v>
      </c>
      <c r="K144" s="5" t="s">
        <v>168</v>
      </c>
      <c r="L144" s="6" t="s">
        <v>174</v>
      </c>
      <c r="M144" s="104"/>
      <c r="N144" s="6" t="s">
        <v>178</v>
      </c>
      <c r="O144" s="5" t="s">
        <v>715</v>
      </c>
      <c r="P144" s="6" t="s">
        <v>27</v>
      </c>
      <c r="Q144" s="7">
        <v>2031</v>
      </c>
      <c r="R144" s="8">
        <v>0.56000000000000005</v>
      </c>
      <c r="S144" s="8">
        <v>0.29999999999999993</v>
      </c>
      <c r="T144" s="9">
        <f t="shared" si="18"/>
        <v>0.86</v>
      </c>
      <c r="U144" s="8">
        <v>7.0000000000000007E-2</v>
      </c>
      <c r="V144" s="8">
        <v>9.5000000000000001E-2</v>
      </c>
      <c r="W144" s="8">
        <v>6.8000000000000005E-2</v>
      </c>
      <c r="X144" s="10">
        <v>0.23009999999999994</v>
      </c>
      <c r="Y144" s="8">
        <v>0.14000000000000001</v>
      </c>
      <c r="Z144" s="11">
        <v>48213</v>
      </c>
      <c r="AA144" s="12"/>
      <c r="AB144" s="22">
        <f t="shared" si="19"/>
        <v>220066.66666666666</v>
      </c>
      <c r="AC144" s="22"/>
      <c r="AD144" s="4">
        <v>40.643980759015236</v>
      </c>
      <c r="AE144" s="14">
        <f t="shared" si="20"/>
        <v>0.28413753938677255</v>
      </c>
      <c r="AF144" s="13">
        <f t="shared" si="21"/>
        <v>38.511666666666663</v>
      </c>
      <c r="AG144" s="4">
        <v>175</v>
      </c>
      <c r="AH144" s="4">
        <v>269.35944512443899</v>
      </c>
      <c r="AI144" s="4">
        <v>817</v>
      </c>
      <c r="AJ144" s="4">
        <v>650</v>
      </c>
      <c r="AK144" s="13">
        <f t="shared" si="22"/>
        <v>143.04333333333332</v>
      </c>
      <c r="AL144" s="13">
        <f t="shared" si="23"/>
        <v>80.104266666666675</v>
      </c>
      <c r="AM144" s="20">
        <v>175083.63933088534</v>
      </c>
      <c r="AN144" s="20">
        <f t="shared" si="24"/>
        <v>47137.902896776824</v>
      </c>
      <c r="AO144" s="23">
        <f t="shared" si="25"/>
        <v>0.70000000000000007</v>
      </c>
      <c r="AP144" s="24">
        <f t="shared" si="26"/>
        <v>1.2649802836537249</v>
      </c>
    </row>
    <row r="145" spans="1:42" x14ac:dyDescent="0.3">
      <c r="A145" t="s">
        <v>640</v>
      </c>
      <c r="B145" s="6" t="s">
        <v>390</v>
      </c>
      <c r="C145" s="15" t="s">
        <v>512</v>
      </c>
      <c r="D145" s="5" t="s">
        <v>550</v>
      </c>
      <c r="E145" s="19">
        <v>1</v>
      </c>
      <c r="F145" s="17"/>
      <c r="G145" s="17"/>
      <c r="H145" s="17"/>
      <c r="I145" s="17"/>
      <c r="J145" s="16">
        <v>280</v>
      </c>
      <c r="K145" s="5" t="s">
        <v>168</v>
      </c>
      <c r="L145" s="6" t="s">
        <v>174</v>
      </c>
      <c r="M145" s="104"/>
      <c r="N145" s="6" t="s">
        <v>179</v>
      </c>
      <c r="O145" s="5" t="s">
        <v>715</v>
      </c>
      <c r="P145" s="6" t="s">
        <v>27</v>
      </c>
      <c r="Q145" s="7">
        <v>2032</v>
      </c>
      <c r="R145" s="8">
        <v>0.56000000000000005</v>
      </c>
      <c r="S145" s="8">
        <v>0.29999999999999993</v>
      </c>
      <c r="T145" s="9">
        <f t="shared" si="18"/>
        <v>0.86</v>
      </c>
      <c r="U145" s="8">
        <v>7.0000000000000007E-2</v>
      </c>
      <c r="V145" s="8">
        <v>9.5000000000000001E-2</v>
      </c>
      <c r="W145" s="8">
        <v>6.8000000000000005E-2</v>
      </c>
      <c r="X145" s="10">
        <v>0.23009999999999994</v>
      </c>
      <c r="Y145" s="8">
        <v>0.14000000000000001</v>
      </c>
      <c r="Z145" s="11">
        <v>48579</v>
      </c>
      <c r="AA145" s="12"/>
      <c r="AB145" s="22">
        <f t="shared" si="19"/>
        <v>220066.66666666669</v>
      </c>
      <c r="AC145" s="22"/>
      <c r="AD145" s="4">
        <v>42.066520085580763</v>
      </c>
      <c r="AE145" s="14">
        <f t="shared" si="20"/>
        <v>0.29408235326530952</v>
      </c>
      <c r="AF145" s="13">
        <f t="shared" si="21"/>
        <v>38.51166666666667</v>
      </c>
      <c r="AG145" s="4">
        <v>175</v>
      </c>
      <c r="AH145" s="4">
        <v>269.03015484922577</v>
      </c>
      <c r="AI145" s="4">
        <v>818</v>
      </c>
      <c r="AJ145" s="4">
        <v>650</v>
      </c>
      <c r="AK145" s="13">
        <f t="shared" si="22"/>
        <v>143.04333333333335</v>
      </c>
      <c r="AL145" s="13">
        <f t="shared" si="23"/>
        <v>80.104266666666689</v>
      </c>
      <c r="AM145" s="20">
        <v>174869.60065199673</v>
      </c>
      <c r="AN145" s="20">
        <f t="shared" si="24"/>
        <v>47080.277098614511</v>
      </c>
      <c r="AO145" s="23">
        <f t="shared" si="25"/>
        <v>0.70000000000000007</v>
      </c>
      <c r="AP145" s="24">
        <f t="shared" si="26"/>
        <v>1.242648133063637</v>
      </c>
    </row>
    <row r="146" spans="1:42" x14ac:dyDescent="0.3">
      <c r="A146" t="s">
        <v>641</v>
      </c>
      <c r="B146" s="6" t="s">
        <v>391</v>
      </c>
      <c r="C146" s="15" t="s">
        <v>511</v>
      </c>
      <c r="D146" s="5" t="s">
        <v>550</v>
      </c>
      <c r="E146" s="19">
        <v>1</v>
      </c>
      <c r="F146" s="17"/>
      <c r="G146" s="17"/>
      <c r="H146" s="17"/>
      <c r="I146" s="17"/>
      <c r="J146" s="16">
        <v>281</v>
      </c>
      <c r="K146" s="5" t="s">
        <v>168</v>
      </c>
      <c r="L146" s="6" t="s">
        <v>180</v>
      </c>
      <c r="M146" s="104"/>
      <c r="N146" s="6" t="s">
        <v>181</v>
      </c>
      <c r="O146" s="5" t="s">
        <v>714</v>
      </c>
      <c r="P146" s="6" t="s">
        <v>80</v>
      </c>
      <c r="Q146" s="7">
        <v>2029</v>
      </c>
      <c r="R146" s="8">
        <v>0.43409999999999999</v>
      </c>
      <c r="S146" s="8">
        <v>0.45740000000000003</v>
      </c>
      <c r="T146" s="9">
        <f t="shared" si="18"/>
        <v>0.89149999999999996</v>
      </c>
      <c r="U146" s="8">
        <v>7.0000000000000007E-2</v>
      </c>
      <c r="V146" s="8">
        <v>0.06</v>
      </c>
      <c r="W146" s="8">
        <v>6.8000000000000005E-2</v>
      </c>
      <c r="X146" s="10">
        <v>0.36683480000000002</v>
      </c>
      <c r="Y146" s="8">
        <v>0.10850000000000004</v>
      </c>
      <c r="Z146" s="11">
        <v>47483</v>
      </c>
      <c r="AA146" s="12"/>
      <c r="AB146" s="22">
        <f t="shared" si="19"/>
        <v>132000</v>
      </c>
      <c r="AC146" s="22"/>
      <c r="AD146" s="4">
        <v>55.81819090520581</v>
      </c>
      <c r="AE146" s="14">
        <f t="shared" si="20"/>
        <v>0.35238756884599626</v>
      </c>
      <c r="AF146" s="13">
        <f t="shared" si="21"/>
        <v>39.6</v>
      </c>
      <c r="AG146" s="4">
        <v>300</v>
      </c>
      <c r="AH146" s="4">
        <v>185.13323983169707</v>
      </c>
      <c r="AI146" s="4">
        <v>713</v>
      </c>
      <c r="AJ146" s="26">
        <v>1200</v>
      </c>
      <c r="AK146" s="13">
        <f t="shared" si="22"/>
        <v>158.4</v>
      </c>
      <c r="AL146" s="13">
        <f t="shared" si="23"/>
        <v>68.761439999999993</v>
      </c>
      <c r="AM146" s="27">
        <v>221952.36</v>
      </c>
      <c r="AN146" s="20">
        <f t="shared" si="24"/>
        <v>55539.971949509119</v>
      </c>
      <c r="AO146" s="23">
        <f t="shared" si="25"/>
        <v>0.54259999999999997</v>
      </c>
      <c r="AP146" s="24">
        <f t="shared" si="26"/>
        <v>0.90074899958421728</v>
      </c>
    </row>
    <row r="147" spans="1:42" x14ac:dyDescent="0.3">
      <c r="A147" t="s">
        <v>641</v>
      </c>
      <c r="B147" s="6" t="s">
        <v>391</v>
      </c>
      <c r="C147" s="15" t="s">
        <v>511</v>
      </c>
      <c r="D147" s="5" t="s">
        <v>550</v>
      </c>
      <c r="E147" s="19">
        <v>1</v>
      </c>
      <c r="F147" s="17"/>
      <c r="G147" s="17"/>
      <c r="H147" s="17"/>
      <c r="I147" s="17"/>
      <c r="J147" s="16">
        <v>282</v>
      </c>
      <c r="K147" s="5" t="s">
        <v>168</v>
      </c>
      <c r="L147" s="6" t="s">
        <v>180</v>
      </c>
      <c r="M147" s="104"/>
      <c r="N147" s="6" t="s">
        <v>181</v>
      </c>
      <c r="O147" s="5" t="s">
        <v>714</v>
      </c>
      <c r="P147" s="6" t="s">
        <v>80</v>
      </c>
      <c r="Q147" s="7">
        <v>2031</v>
      </c>
      <c r="R147" s="8">
        <v>0.43409999999999999</v>
      </c>
      <c r="S147" s="8">
        <v>0.45740000000000003</v>
      </c>
      <c r="T147" s="9">
        <f t="shared" si="18"/>
        <v>0.89149999999999996</v>
      </c>
      <c r="U147" s="8">
        <v>7.0000000000000007E-2</v>
      </c>
      <c r="V147" s="8">
        <v>0.06</v>
      </c>
      <c r="W147" s="8">
        <v>6.8000000000000005E-2</v>
      </c>
      <c r="X147" s="10">
        <v>0.36683480000000002</v>
      </c>
      <c r="Y147" s="8">
        <v>0.10850000000000004</v>
      </c>
      <c r="Z147" s="11">
        <v>48213</v>
      </c>
      <c r="AA147" s="12"/>
      <c r="AB147" s="22">
        <f t="shared" si="19"/>
        <v>132000</v>
      </c>
      <c r="AC147" s="22"/>
      <c r="AD147" s="4">
        <v>59.793841552429065</v>
      </c>
      <c r="AE147" s="14">
        <f t="shared" si="20"/>
        <v>0.37748637343705216</v>
      </c>
      <c r="AF147" s="13">
        <f t="shared" si="21"/>
        <v>39.6</v>
      </c>
      <c r="AG147" s="4">
        <v>300</v>
      </c>
      <c r="AH147" s="4">
        <v>184.87394957983193</v>
      </c>
      <c r="AI147" s="4">
        <v>714</v>
      </c>
      <c r="AJ147" s="26">
        <v>1200</v>
      </c>
      <c r="AK147" s="13">
        <f t="shared" si="22"/>
        <v>158.4</v>
      </c>
      <c r="AL147" s="13">
        <f t="shared" si="23"/>
        <v>68.761439999999993</v>
      </c>
      <c r="AM147" s="27">
        <v>221952.36</v>
      </c>
      <c r="AN147" s="20">
        <f t="shared" si="24"/>
        <v>55462.184873949576</v>
      </c>
      <c r="AO147" s="23">
        <f t="shared" si="25"/>
        <v>0.54259999999999997</v>
      </c>
      <c r="AP147" s="24">
        <f t="shared" si="26"/>
        <v>0.86471997316517379</v>
      </c>
    </row>
    <row r="148" spans="1:42" x14ac:dyDescent="0.3">
      <c r="A148" t="s">
        <v>641</v>
      </c>
      <c r="B148" s="6" t="s">
        <v>391</v>
      </c>
      <c r="C148" s="15" t="s">
        <v>511</v>
      </c>
      <c r="D148" s="5" t="s">
        <v>550</v>
      </c>
      <c r="E148" s="19">
        <v>1</v>
      </c>
      <c r="F148" s="17"/>
      <c r="G148" s="17"/>
      <c r="H148" s="17"/>
      <c r="I148" s="17"/>
      <c r="J148" s="16">
        <v>283</v>
      </c>
      <c r="K148" s="5" t="s">
        <v>168</v>
      </c>
      <c r="L148" s="6" t="s">
        <v>180</v>
      </c>
      <c r="M148" s="104"/>
      <c r="N148" s="6" t="s">
        <v>181</v>
      </c>
      <c r="O148" s="5" t="s">
        <v>714</v>
      </c>
      <c r="P148" s="6" t="s">
        <v>80</v>
      </c>
      <c r="Q148" s="7">
        <v>2033</v>
      </c>
      <c r="R148" s="8">
        <v>0.43409999999999999</v>
      </c>
      <c r="S148" s="8">
        <v>0.45740000000000003</v>
      </c>
      <c r="T148" s="9">
        <f t="shared" si="18"/>
        <v>0.89149999999999996</v>
      </c>
      <c r="U148" s="8">
        <v>7.0000000000000007E-2</v>
      </c>
      <c r="V148" s="8">
        <v>0.06</v>
      </c>
      <c r="W148" s="8">
        <v>6.8000000000000005E-2</v>
      </c>
      <c r="X148" s="10">
        <v>0.36683480000000002</v>
      </c>
      <c r="Y148" s="8">
        <v>0.10850000000000004</v>
      </c>
      <c r="Z148" s="11">
        <v>48944</v>
      </c>
      <c r="AA148" s="12"/>
      <c r="AB148" s="22">
        <f t="shared" si="19"/>
        <v>132000</v>
      </c>
      <c r="AC148" s="22"/>
      <c r="AD148" s="4">
        <v>64.052657917000829</v>
      </c>
      <c r="AE148" s="14">
        <f t="shared" si="20"/>
        <v>0.40437284038510624</v>
      </c>
      <c r="AF148" s="13">
        <f t="shared" si="21"/>
        <v>39.6</v>
      </c>
      <c r="AG148" s="4">
        <v>300</v>
      </c>
      <c r="AH148" s="4">
        <v>184.87394957983193</v>
      </c>
      <c r="AI148" s="4">
        <v>714</v>
      </c>
      <c r="AJ148" s="26">
        <v>1200</v>
      </c>
      <c r="AK148" s="13">
        <f t="shared" si="22"/>
        <v>158.4</v>
      </c>
      <c r="AL148" s="13">
        <f t="shared" si="23"/>
        <v>68.761439999999993</v>
      </c>
      <c r="AM148" s="27">
        <v>221952.36</v>
      </c>
      <c r="AN148" s="20">
        <f t="shared" si="24"/>
        <v>55462.184873949576</v>
      </c>
      <c r="AO148" s="23">
        <f t="shared" si="25"/>
        <v>0.54259999999999997</v>
      </c>
      <c r="AP148" s="24">
        <f t="shared" si="26"/>
        <v>0.8291908931927453</v>
      </c>
    </row>
    <row r="149" spans="1:42" x14ac:dyDescent="0.3">
      <c r="A149" t="s">
        <v>641</v>
      </c>
      <c r="B149" s="6" t="s">
        <v>392</v>
      </c>
      <c r="C149" s="15" t="s">
        <v>511</v>
      </c>
      <c r="D149" s="5" t="s">
        <v>550</v>
      </c>
      <c r="E149" s="19">
        <v>1</v>
      </c>
      <c r="F149" s="17"/>
      <c r="G149" s="17"/>
      <c r="H149" s="17"/>
      <c r="I149" s="17"/>
      <c r="J149" s="16">
        <v>284</v>
      </c>
      <c r="K149" s="5" t="s">
        <v>168</v>
      </c>
      <c r="L149" s="6" t="s">
        <v>180</v>
      </c>
      <c r="M149" s="104"/>
      <c r="N149" s="6" t="s">
        <v>182</v>
      </c>
      <c r="O149" s="5" t="s">
        <v>719</v>
      </c>
      <c r="P149" s="6" t="s">
        <v>27</v>
      </c>
      <c r="Q149" s="7">
        <v>2028</v>
      </c>
      <c r="R149" s="8">
        <v>0.43409999999999999</v>
      </c>
      <c r="S149" s="8">
        <v>0.45740000000000003</v>
      </c>
      <c r="T149" s="9">
        <f t="shared" si="18"/>
        <v>0.89149999999999996</v>
      </c>
      <c r="U149" s="8">
        <v>7.0000000000000007E-2</v>
      </c>
      <c r="V149" s="8">
        <v>0.06</v>
      </c>
      <c r="W149" s="8">
        <v>6.8000000000000005E-2</v>
      </c>
      <c r="X149" s="10">
        <v>0.36683480000000002</v>
      </c>
      <c r="Y149" s="8">
        <v>0.10850000000000004</v>
      </c>
      <c r="Z149" s="11">
        <v>47118</v>
      </c>
      <c r="AA149" s="12"/>
      <c r="AB149" s="22">
        <f t="shared" si="19"/>
        <v>168000</v>
      </c>
      <c r="AC149" s="22"/>
      <c r="AD149" s="4">
        <v>48.047278952219315</v>
      </c>
      <c r="AE149" s="14">
        <f t="shared" si="20"/>
        <v>0.40856529721274931</v>
      </c>
      <c r="AF149" s="13">
        <f t="shared" si="21"/>
        <v>29.4</v>
      </c>
      <c r="AG149" s="4">
        <v>175</v>
      </c>
      <c r="AH149" s="4">
        <v>200</v>
      </c>
      <c r="AI149" s="4">
        <v>840</v>
      </c>
      <c r="AJ149" s="4">
        <v>700</v>
      </c>
      <c r="AK149" s="13">
        <f t="shared" si="22"/>
        <v>117.6</v>
      </c>
      <c r="AL149" s="13">
        <f t="shared" si="23"/>
        <v>51.050159999999998</v>
      </c>
      <c r="AM149" s="20">
        <v>140000</v>
      </c>
      <c r="AN149" s="20">
        <f t="shared" si="24"/>
        <v>35000</v>
      </c>
      <c r="AO149" s="23">
        <f t="shared" si="25"/>
        <v>0.54259999999999997</v>
      </c>
      <c r="AP149" s="24">
        <f t="shared" si="26"/>
        <v>0.82391222601076908</v>
      </c>
    </row>
    <row r="150" spans="1:42" x14ac:dyDescent="0.3">
      <c r="A150" t="s">
        <v>641</v>
      </c>
      <c r="B150" s="6" t="s">
        <v>392</v>
      </c>
      <c r="C150" s="15" t="s">
        <v>511</v>
      </c>
      <c r="D150" s="5" t="s">
        <v>550</v>
      </c>
      <c r="E150" s="19">
        <v>1</v>
      </c>
      <c r="F150" s="17"/>
      <c r="G150" s="17"/>
      <c r="H150" s="17"/>
      <c r="I150" s="17"/>
      <c r="J150" s="16">
        <v>285</v>
      </c>
      <c r="K150" s="5" t="s">
        <v>168</v>
      </c>
      <c r="L150" s="6" t="s">
        <v>180</v>
      </c>
      <c r="M150" s="104"/>
      <c r="N150" s="6" t="s">
        <v>182</v>
      </c>
      <c r="O150" s="5" t="s">
        <v>719</v>
      </c>
      <c r="P150" s="6" t="s">
        <v>27</v>
      </c>
      <c r="Q150" s="7">
        <v>2030</v>
      </c>
      <c r="R150" s="8">
        <v>0.43409999999999999</v>
      </c>
      <c r="S150" s="8">
        <v>0.29899999999999999</v>
      </c>
      <c r="T150" s="9">
        <f t="shared" si="18"/>
        <v>0.73309999999999997</v>
      </c>
      <c r="U150" s="8">
        <v>7.0000000000000007E-2</v>
      </c>
      <c r="V150" s="8">
        <v>0.06</v>
      </c>
      <c r="W150" s="8">
        <v>6.8000000000000005E-2</v>
      </c>
      <c r="X150" s="10">
        <v>0.23979799999999998</v>
      </c>
      <c r="Y150" s="8">
        <v>0.26690000000000003</v>
      </c>
      <c r="Z150" s="11">
        <v>47848</v>
      </c>
      <c r="AA150" s="12"/>
      <c r="AB150" s="22">
        <f t="shared" si="19"/>
        <v>168000</v>
      </c>
      <c r="AC150" s="22"/>
      <c r="AD150" s="4">
        <v>33.645309296636952</v>
      </c>
      <c r="AE150" s="14">
        <f t="shared" si="20"/>
        <v>0.28609956884895371</v>
      </c>
      <c r="AF150" s="13">
        <f t="shared" si="21"/>
        <v>29.4</v>
      </c>
      <c r="AG150" s="4">
        <v>175</v>
      </c>
      <c r="AH150" s="4">
        <v>200</v>
      </c>
      <c r="AI150" s="4">
        <v>840</v>
      </c>
      <c r="AJ150" s="4">
        <v>700</v>
      </c>
      <c r="AK150" s="13">
        <f t="shared" si="22"/>
        <v>117.6</v>
      </c>
      <c r="AL150" s="13">
        <f t="shared" si="23"/>
        <v>51.050159999999998</v>
      </c>
      <c r="AM150" s="20">
        <v>140000</v>
      </c>
      <c r="AN150" s="20">
        <f t="shared" si="24"/>
        <v>35000</v>
      </c>
      <c r="AO150" s="23">
        <f t="shared" si="25"/>
        <v>0.70100000000000007</v>
      </c>
      <c r="AP150" s="24">
        <f t="shared" si="26"/>
        <v>1.307592918802565</v>
      </c>
    </row>
    <row r="151" spans="1:42" x14ac:dyDescent="0.3">
      <c r="A151" t="s">
        <v>641</v>
      </c>
      <c r="B151" s="6" t="s">
        <v>392</v>
      </c>
      <c r="C151" s="15" t="s">
        <v>511</v>
      </c>
      <c r="D151" s="5" t="s">
        <v>550</v>
      </c>
      <c r="E151" s="19">
        <v>1</v>
      </c>
      <c r="F151" s="17"/>
      <c r="G151" s="17"/>
      <c r="H151" s="17"/>
      <c r="I151" s="17"/>
      <c r="J151" s="16">
        <v>286</v>
      </c>
      <c r="K151" s="5" t="s">
        <v>168</v>
      </c>
      <c r="L151" s="6" t="s">
        <v>180</v>
      </c>
      <c r="M151" s="104"/>
      <c r="N151" s="6" t="s">
        <v>182</v>
      </c>
      <c r="O151" s="5" t="s">
        <v>719</v>
      </c>
      <c r="P151" s="6" t="s">
        <v>27</v>
      </c>
      <c r="Q151" s="7">
        <v>2032</v>
      </c>
      <c r="R151" s="8">
        <v>0.43409999999999999</v>
      </c>
      <c r="S151" s="8">
        <v>0.29899999999999999</v>
      </c>
      <c r="T151" s="9">
        <f t="shared" si="18"/>
        <v>0.73309999999999997</v>
      </c>
      <c r="U151" s="8">
        <v>7.0000000000000007E-2</v>
      </c>
      <c r="V151" s="8">
        <v>0.06</v>
      </c>
      <c r="W151" s="8">
        <v>6.8000000000000005E-2</v>
      </c>
      <c r="X151" s="10">
        <v>0.23979799999999998</v>
      </c>
      <c r="Y151" s="8">
        <v>0.26690000000000003</v>
      </c>
      <c r="Z151" s="11">
        <v>48579</v>
      </c>
      <c r="AA151" s="12"/>
      <c r="AB151" s="22">
        <f t="shared" si="19"/>
        <v>168000</v>
      </c>
      <c r="AC151" s="22"/>
      <c r="AD151" s="4">
        <v>36.041696451289923</v>
      </c>
      <c r="AE151" s="14">
        <f t="shared" si="20"/>
        <v>0.30647701064022043</v>
      </c>
      <c r="AF151" s="13">
        <f t="shared" si="21"/>
        <v>29.4</v>
      </c>
      <c r="AG151" s="4">
        <v>175</v>
      </c>
      <c r="AH151" s="4">
        <v>200</v>
      </c>
      <c r="AI151" s="4">
        <v>840</v>
      </c>
      <c r="AJ151" s="4">
        <v>700</v>
      </c>
      <c r="AK151" s="13">
        <f t="shared" si="22"/>
        <v>117.6</v>
      </c>
      <c r="AL151" s="13">
        <f t="shared" si="23"/>
        <v>51.050159999999998</v>
      </c>
      <c r="AM151" s="20">
        <v>140000</v>
      </c>
      <c r="AN151" s="20">
        <f t="shared" si="24"/>
        <v>35000</v>
      </c>
      <c r="AO151" s="23">
        <f t="shared" si="25"/>
        <v>0.70100000000000007</v>
      </c>
      <c r="AP151" s="24">
        <f t="shared" si="26"/>
        <v>1.259710619839457</v>
      </c>
    </row>
    <row r="152" spans="1:42" x14ac:dyDescent="0.3">
      <c r="A152" t="s">
        <v>641</v>
      </c>
      <c r="B152" s="6" t="s">
        <v>393</v>
      </c>
      <c r="C152" s="15" t="s">
        <v>511</v>
      </c>
      <c r="D152" s="5" t="s">
        <v>550</v>
      </c>
      <c r="E152" s="19">
        <v>1</v>
      </c>
      <c r="F152" s="17"/>
      <c r="G152" s="17"/>
      <c r="H152" s="17"/>
      <c r="I152" s="17"/>
      <c r="J152" s="16">
        <v>287</v>
      </c>
      <c r="K152" s="5" t="s">
        <v>168</v>
      </c>
      <c r="L152" s="6" t="s">
        <v>180</v>
      </c>
      <c r="M152" s="104"/>
      <c r="N152" s="6" t="s">
        <v>183</v>
      </c>
      <c r="O152" s="5" t="s">
        <v>719</v>
      </c>
      <c r="P152" s="6" t="s">
        <v>80</v>
      </c>
      <c r="Q152" s="7">
        <v>2030</v>
      </c>
      <c r="R152" s="8">
        <v>0.8</v>
      </c>
      <c r="S152" s="8">
        <v>0</v>
      </c>
      <c r="T152" s="9">
        <f t="shared" si="18"/>
        <v>0.8</v>
      </c>
      <c r="U152" s="8"/>
      <c r="V152" s="8"/>
      <c r="W152" s="8"/>
      <c r="X152" s="10">
        <v>0</v>
      </c>
      <c r="Y152" s="8">
        <v>0.19999999999999996</v>
      </c>
      <c r="Z152" s="11">
        <v>47848</v>
      </c>
      <c r="AA152" s="12"/>
      <c r="AB152" s="22">
        <f t="shared" si="19"/>
        <v>120000</v>
      </c>
      <c r="AC152" s="22"/>
      <c r="AD152" s="4">
        <v>0</v>
      </c>
      <c r="AE152" s="14">
        <f t="shared" si="20"/>
        <v>0</v>
      </c>
      <c r="AF152" s="13">
        <f t="shared" si="21"/>
        <v>42</v>
      </c>
      <c r="AG152" s="4">
        <v>350</v>
      </c>
      <c r="AH152" s="4">
        <v>180.45112781954887</v>
      </c>
      <c r="AI152" s="4">
        <v>665</v>
      </c>
      <c r="AJ152" s="4">
        <v>700</v>
      </c>
      <c r="AK152" s="13">
        <f t="shared" si="22"/>
        <v>84</v>
      </c>
      <c r="AL152" s="13">
        <f t="shared" si="23"/>
        <v>67.2</v>
      </c>
      <c r="AM152" s="20">
        <v>126315.78947368421</v>
      </c>
      <c r="AN152" s="20">
        <f t="shared" si="24"/>
        <v>63157.894736842107</v>
      </c>
      <c r="AO152" s="23">
        <f t="shared" si="25"/>
        <v>1</v>
      </c>
      <c r="AP152" s="24">
        <f t="shared" si="26"/>
        <v>2</v>
      </c>
    </row>
    <row r="153" spans="1:42" x14ac:dyDescent="0.3">
      <c r="A153" t="s">
        <v>641</v>
      </c>
      <c r="B153" s="6" t="s">
        <v>394</v>
      </c>
      <c r="C153" s="15" t="s">
        <v>511</v>
      </c>
      <c r="D153" s="5" t="s">
        <v>550</v>
      </c>
      <c r="E153" s="19">
        <v>1</v>
      </c>
      <c r="F153" s="17"/>
      <c r="G153" s="17"/>
      <c r="H153" s="17"/>
      <c r="I153" s="17"/>
      <c r="J153" s="16">
        <v>288</v>
      </c>
      <c r="K153" s="5" t="s">
        <v>168</v>
      </c>
      <c r="L153" s="6" t="s">
        <v>180</v>
      </c>
      <c r="M153" s="104"/>
      <c r="N153" s="6" t="s">
        <v>184</v>
      </c>
      <c r="O153" s="5" t="s">
        <v>719</v>
      </c>
      <c r="P153" s="6" t="s">
        <v>27</v>
      </c>
      <c r="Q153" s="7">
        <v>2032</v>
      </c>
      <c r="R153" s="8">
        <v>0.44</v>
      </c>
      <c r="S153" s="8">
        <v>0.32</v>
      </c>
      <c r="T153" s="9">
        <f t="shared" si="18"/>
        <v>0.76</v>
      </c>
      <c r="U153" s="8">
        <v>7.0000000000000007E-2</v>
      </c>
      <c r="V153" s="8">
        <v>9.5000000000000001E-2</v>
      </c>
      <c r="W153" s="8">
        <v>6.8000000000000005E-2</v>
      </c>
      <c r="X153" s="10">
        <v>0.24543999999999999</v>
      </c>
      <c r="Y153" s="8">
        <v>0.24</v>
      </c>
      <c r="Z153" s="11">
        <v>48579</v>
      </c>
      <c r="AA153" s="12"/>
      <c r="AB153" s="28">
        <f>AH153*AI153</f>
        <v>232500</v>
      </c>
      <c r="AC153" s="28"/>
      <c r="AD153" s="4">
        <v>32.121994345239678</v>
      </c>
      <c r="AE153" s="14">
        <f t="shared" si="20"/>
        <v>0.19737016494770923</v>
      </c>
      <c r="AF153" s="13">
        <f t="shared" si="21"/>
        <v>40.6875</v>
      </c>
      <c r="AG153" s="4">
        <v>175</v>
      </c>
      <c r="AH153" s="26">
        <v>180</v>
      </c>
      <c r="AI153" s="26">
        <v>1291.6666666666667</v>
      </c>
      <c r="AJ153" s="4">
        <v>700</v>
      </c>
      <c r="AK153" s="13">
        <f t="shared" si="22"/>
        <v>162.75</v>
      </c>
      <c r="AL153" s="13">
        <f t="shared" si="23"/>
        <v>71.61</v>
      </c>
      <c r="AM153" s="27">
        <v>126000</v>
      </c>
      <c r="AN153" s="20">
        <f t="shared" si="24"/>
        <v>31500</v>
      </c>
      <c r="AO153" s="23">
        <f t="shared" si="25"/>
        <v>0.67999999999999994</v>
      </c>
      <c r="AP153" s="24">
        <f t="shared" si="26"/>
        <v>1.5199940748831153</v>
      </c>
    </row>
    <row r="154" spans="1:42" x14ac:dyDescent="0.3">
      <c r="A154" t="s">
        <v>641</v>
      </c>
      <c r="B154" s="6" t="s">
        <v>395</v>
      </c>
      <c r="C154" s="15" t="s">
        <v>511</v>
      </c>
      <c r="D154" s="5" t="s">
        <v>550</v>
      </c>
      <c r="E154" s="19">
        <v>1</v>
      </c>
      <c r="F154" s="17"/>
      <c r="G154" s="17"/>
      <c r="H154" s="17"/>
      <c r="I154" s="17"/>
      <c r="J154" s="16">
        <v>289</v>
      </c>
      <c r="K154" s="5" t="s">
        <v>168</v>
      </c>
      <c r="L154" s="6" t="s">
        <v>180</v>
      </c>
      <c r="M154" s="104"/>
      <c r="N154" s="6" t="s">
        <v>185</v>
      </c>
      <c r="O154" s="5" t="s">
        <v>719</v>
      </c>
      <c r="P154" s="6" t="s">
        <v>27</v>
      </c>
      <c r="Q154" s="7">
        <v>2034</v>
      </c>
      <c r="R154" s="8">
        <v>0.44</v>
      </c>
      <c r="S154" s="8">
        <v>0.32</v>
      </c>
      <c r="T154" s="9">
        <f t="shared" si="18"/>
        <v>0.76</v>
      </c>
      <c r="U154" s="8">
        <v>7.0000000000000007E-2</v>
      </c>
      <c r="V154" s="8">
        <v>9.5000000000000001E-2</v>
      </c>
      <c r="W154" s="8">
        <v>6.8000000000000005E-2</v>
      </c>
      <c r="X154" s="10">
        <v>0.24543999999999999</v>
      </c>
      <c r="Y154" s="8">
        <v>0.24</v>
      </c>
      <c r="Z154" s="11">
        <v>49309</v>
      </c>
      <c r="AA154" s="12"/>
      <c r="AB154" s="28">
        <f>AH154*AI154</f>
        <v>133120.74001947418</v>
      </c>
      <c r="AC154" s="28"/>
      <c r="AD154" s="4">
        <v>43.515918687491997</v>
      </c>
      <c r="AE154" s="14">
        <f t="shared" si="20"/>
        <v>0.46698657260990567</v>
      </c>
      <c r="AF154" s="13">
        <f t="shared" si="21"/>
        <v>23.296129503407986</v>
      </c>
      <c r="AG154" s="4">
        <v>175</v>
      </c>
      <c r="AH154" s="4">
        <v>180.1363193768257</v>
      </c>
      <c r="AI154" s="26">
        <v>739</v>
      </c>
      <c r="AJ154" s="4">
        <v>700</v>
      </c>
      <c r="AK154" s="13">
        <f t="shared" si="22"/>
        <v>93.184518013631944</v>
      </c>
      <c r="AL154" s="13">
        <f t="shared" si="23"/>
        <v>41.001187925998053</v>
      </c>
      <c r="AM154" s="27">
        <v>126000</v>
      </c>
      <c r="AN154" s="20">
        <f t="shared" si="24"/>
        <v>31523.855890944498</v>
      </c>
      <c r="AO154" s="23">
        <f t="shared" si="25"/>
        <v>0.67999999999999994</v>
      </c>
      <c r="AP154" s="24">
        <f t="shared" si="26"/>
        <v>0.94841385595929528</v>
      </c>
    </row>
    <row r="155" spans="1:42" x14ac:dyDescent="0.3">
      <c r="A155" t="s">
        <v>642</v>
      </c>
      <c r="B155" s="6" t="s">
        <v>396</v>
      </c>
      <c r="C155" s="15" t="s">
        <v>510</v>
      </c>
      <c r="D155" s="5" t="s">
        <v>550</v>
      </c>
      <c r="E155" s="19">
        <v>1</v>
      </c>
      <c r="F155" s="17"/>
      <c r="G155" s="17"/>
      <c r="H155" s="17"/>
      <c r="I155" s="17"/>
      <c r="J155" s="16">
        <v>290</v>
      </c>
      <c r="K155" s="5" t="s">
        <v>168</v>
      </c>
      <c r="L155" s="6" t="s">
        <v>180</v>
      </c>
      <c r="M155" s="104"/>
      <c r="N155" s="6" t="s">
        <v>186</v>
      </c>
      <c r="O155" s="79" t="s">
        <v>714</v>
      </c>
      <c r="P155" s="6" t="s">
        <v>27</v>
      </c>
      <c r="Q155" s="7">
        <v>2031</v>
      </c>
      <c r="R155" s="8">
        <v>0.32800000000000001</v>
      </c>
      <c r="S155" s="8">
        <v>0.18</v>
      </c>
      <c r="T155" s="9">
        <f t="shared" si="18"/>
        <v>0.50800000000000001</v>
      </c>
      <c r="U155" s="8">
        <v>7.0000000000000007E-2</v>
      </c>
      <c r="V155" s="8">
        <v>7.0000000000000007E-2</v>
      </c>
      <c r="W155" s="8">
        <v>6.8000000000000005E-2</v>
      </c>
      <c r="X155" s="10">
        <v>0.14255999999999999</v>
      </c>
      <c r="Y155" s="8">
        <v>0.49199999999999999</v>
      </c>
      <c r="Z155" s="11">
        <v>48213</v>
      </c>
      <c r="AA155" s="12"/>
      <c r="AB155" s="22">
        <f t="shared" si="19"/>
        <v>75810</v>
      </c>
      <c r="AC155" s="22"/>
      <c r="AD155" s="4">
        <v>10.024888291464491</v>
      </c>
      <c r="AE155" s="14">
        <f t="shared" si="20"/>
        <v>0.17631602324169177</v>
      </c>
      <c r="AF155" s="13">
        <f t="shared" si="21"/>
        <v>13.26675</v>
      </c>
      <c r="AG155" s="4">
        <v>175</v>
      </c>
      <c r="AH155" s="4">
        <v>190</v>
      </c>
      <c r="AI155" s="4">
        <v>399</v>
      </c>
      <c r="AJ155" s="4">
        <v>750</v>
      </c>
      <c r="AK155" s="13">
        <f t="shared" si="22"/>
        <v>56.857500000000002</v>
      </c>
      <c r="AL155" s="13">
        <f t="shared" si="23"/>
        <v>18.649260000000002</v>
      </c>
      <c r="AM155" s="20">
        <v>142723.98496240602</v>
      </c>
      <c r="AN155" s="20">
        <f t="shared" si="24"/>
        <v>33250</v>
      </c>
      <c r="AO155" s="23">
        <f t="shared" si="25"/>
        <v>0.82000000000000006</v>
      </c>
      <c r="AP155" s="24">
        <f t="shared" si="26"/>
        <v>2.001711919813113</v>
      </c>
    </row>
    <row r="156" spans="1:42" x14ac:dyDescent="0.3">
      <c r="A156" t="s">
        <v>642</v>
      </c>
      <c r="B156" s="6" t="s">
        <v>397</v>
      </c>
      <c r="C156" s="15" t="s">
        <v>510</v>
      </c>
      <c r="D156" s="5" t="s">
        <v>550</v>
      </c>
      <c r="E156" s="19">
        <v>1</v>
      </c>
      <c r="F156" s="17"/>
      <c r="G156" s="17"/>
      <c r="H156" s="17"/>
      <c r="I156" s="17"/>
      <c r="J156" s="16">
        <v>291</v>
      </c>
      <c r="K156" s="5" t="s">
        <v>168</v>
      </c>
      <c r="L156" s="6" t="s">
        <v>180</v>
      </c>
      <c r="M156" s="104"/>
      <c r="N156" s="6" t="s">
        <v>187</v>
      </c>
      <c r="O156" s="79" t="s">
        <v>714</v>
      </c>
      <c r="P156" s="6" t="s">
        <v>27</v>
      </c>
      <c r="Q156" s="7">
        <v>2033</v>
      </c>
      <c r="R156" s="8">
        <v>0.32800000000000001</v>
      </c>
      <c r="S156" s="8">
        <v>0.18</v>
      </c>
      <c r="T156" s="9">
        <f t="shared" si="18"/>
        <v>0.50800000000000001</v>
      </c>
      <c r="U156" s="8">
        <v>7.0000000000000007E-2</v>
      </c>
      <c r="V156" s="8">
        <v>7.0000000000000007E-2</v>
      </c>
      <c r="W156" s="8">
        <v>6.8000000000000005E-2</v>
      </c>
      <c r="X156" s="10">
        <v>0.14255999999999999</v>
      </c>
      <c r="Y156" s="8">
        <v>0.49199999999999999</v>
      </c>
      <c r="Z156" s="11">
        <v>48944</v>
      </c>
      <c r="AA156" s="12"/>
      <c r="AB156" s="22">
        <f>AH156*AI156</f>
        <v>98136</v>
      </c>
      <c r="AC156" s="22"/>
      <c r="AD156" s="4">
        <v>20.356889545820728</v>
      </c>
      <c r="AE156" s="14">
        <f t="shared" si="20"/>
        <v>0.15956576388356447</v>
      </c>
      <c r="AF156" s="13">
        <f t="shared" si="21"/>
        <v>17.1738</v>
      </c>
      <c r="AG156" s="4">
        <v>175</v>
      </c>
      <c r="AH156" s="4">
        <v>185.1622641509434</v>
      </c>
      <c r="AI156" s="4">
        <v>530</v>
      </c>
      <c r="AJ156" s="26">
        <v>1300</v>
      </c>
      <c r="AK156" s="13">
        <f t="shared" si="22"/>
        <v>127.57680000000001</v>
      </c>
      <c r="AL156" s="13">
        <f t="shared" si="23"/>
        <v>41.845190400000007</v>
      </c>
      <c r="AM156" s="20">
        <v>203678.49056603774</v>
      </c>
      <c r="AN156" s="20">
        <f t="shared" si="24"/>
        <v>32403.396226415094</v>
      </c>
      <c r="AO156" s="23">
        <f t="shared" si="25"/>
        <v>0.82000000000000006</v>
      </c>
      <c r="AP156" s="24">
        <f t="shared" si="26"/>
        <v>2.7873981870831179</v>
      </c>
    </row>
    <row r="157" spans="1:42" x14ac:dyDescent="0.3">
      <c r="A157" t="s">
        <v>642</v>
      </c>
      <c r="B157" s="6" t="s">
        <v>398</v>
      </c>
      <c r="C157" s="15" t="s">
        <v>510</v>
      </c>
      <c r="D157" s="5" t="s">
        <v>550</v>
      </c>
      <c r="E157" s="19">
        <v>1</v>
      </c>
      <c r="F157" s="17"/>
      <c r="G157" s="17"/>
      <c r="H157" s="17"/>
      <c r="I157" s="17"/>
      <c r="J157" s="16">
        <v>292</v>
      </c>
      <c r="K157" s="5" t="s">
        <v>168</v>
      </c>
      <c r="L157" s="6" t="s">
        <v>180</v>
      </c>
      <c r="M157" s="104"/>
      <c r="N157" s="6" t="s">
        <v>188</v>
      </c>
      <c r="O157" s="5" t="s">
        <v>715</v>
      </c>
      <c r="P157" s="6" t="s">
        <v>27</v>
      </c>
      <c r="Q157" s="7">
        <v>2035</v>
      </c>
      <c r="R157" s="8">
        <v>0.32800000000000001</v>
      </c>
      <c r="S157" s="8">
        <v>0.18</v>
      </c>
      <c r="T157" s="9">
        <f t="shared" si="18"/>
        <v>0.50800000000000001</v>
      </c>
      <c r="U157" s="8">
        <v>7.0000000000000007E-2</v>
      </c>
      <c r="V157" s="8">
        <v>7.0000000000000007E-2</v>
      </c>
      <c r="W157" s="8">
        <v>6.8000000000000005E-2</v>
      </c>
      <c r="X157" s="10">
        <v>0.14255999999999999</v>
      </c>
      <c r="Y157" s="8">
        <v>0.49199999999999999</v>
      </c>
      <c r="Z157" s="11">
        <v>49674</v>
      </c>
      <c r="AA157" s="12"/>
      <c r="AB157" s="22">
        <f t="shared" si="19"/>
        <v>75000</v>
      </c>
      <c r="AC157" s="22"/>
      <c r="AD157" s="4">
        <v>11.363015763461389</v>
      </c>
      <c r="AE157" s="14">
        <f t="shared" si="20"/>
        <v>0.20200916912820246</v>
      </c>
      <c r="AF157" s="13">
        <f t="shared" si="21"/>
        <v>13.125</v>
      </c>
      <c r="AG157" s="4">
        <v>175</v>
      </c>
      <c r="AH157" s="4">
        <v>200</v>
      </c>
      <c r="AI157" s="4">
        <v>375</v>
      </c>
      <c r="AJ157" s="4">
        <v>750</v>
      </c>
      <c r="AK157" s="13">
        <f t="shared" si="22"/>
        <v>56.25</v>
      </c>
      <c r="AL157" s="13">
        <f t="shared" si="23"/>
        <v>18.45</v>
      </c>
      <c r="AM157" s="20">
        <v>150000</v>
      </c>
      <c r="AN157" s="20">
        <f t="shared" si="24"/>
        <v>35000</v>
      </c>
      <c r="AO157" s="23">
        <f t="shared" si="25"/>
        <v>0.82000000000000006</v>
      </c>
      <c r="AP157" s="24">
        <f t="shared" si="26"/>
        <v>1.8835744163813872</v>
      </c>
    </row>
    <row r="158" spans="1:42" x14ac:dyDescent="0.3">
      <c r="A158" t="s">
        <v>687</v>
      </c>
      <c r="B158" s="6" t="s">
        <v>399</v>
      </c>
      <c r="C158" s="15" t="s">
        <v>509</v>
      </c>
      <c r="D158" s="5" t="s">
        <v>550</v>
      </c>
      <c r="E158" s="19">
        <v>1</v>
      </c>
      <c r="F158" s="17"/>
      <c r="G158" s="17"/>
      <c r="H158" s="17"/>
      <c r="I158" s="17"/>
      <c r="J158" s="16">
        <v>293</v>
      </c>
      <c r="K158" s="5" t="s">
        <v>168</v>
      </c>
      <c r="L158" s="6" t="s">
        <v>189</v>
      </c>
      <c r="M158" s="104"/>
      <c r="N158" s="6" t="s">
        <v>190</v>
      </c>
      <c r="O158" s="5" t="s">
        <v>714</v>
      </c>
      <c r="P158" s="6" t="s">
        <v>27</v>
      </c>
      <c r="Q158" s="7">
        <v>2026</v>
      </c>
      <c r="R158" s="8">
        <v>0.54400000000000004</v>
      </c>
      <c r="S158" s="8">
        <v>0.31999999999999995</v>
      </c>
      <c r="T158" s="9">
        <f t="shared" si="18"/>
        <v>0.86399999999999999</v>
      </c>
      <c r="U158" s="8">
        <v>7.0000000000000007E-2</v>
      </c>
      <c r="V158" s="8">
        <v>9.5000000000000001E-2</v>
      </c>
      <c r="W158" s="8">
        <v>6.8000000000000005E-2</v>
      </c>
      <c r="X158" s="10">
        <v>0.24543999999999996</v>
      </c>
      <c r="Y158" s="8">
        <v>0.13600000000000001</v>
      </c>
      <c r="Z158" s="11">
        <v>46295</v>
      </c>
      <c r="AA158" s="12"/>
      <c r="AB158" s="22">
        <f>AH158*AI158</f>
        <v>106260</v>
      </c>
      <c r="AC158" s="22"/>
      <c r="AD158" s="4">
        <v>17.044670871080317</v>
      </c>
      <c r="AE158" s="14">
        <f t="shared" si="20"/>
        <v>0.24677743808481831</v>
      </c>
      <c r="AF158" s="13">
        <f t="shared" si="21"/>
        <v>18.595500000000001</v>
      </c>
      <c r="AG158" s="4">
        <v>175</v>
      </c>
      <c r="AH158" s="75">
        <v>322</v>
      </c>
      <c r="AI158" s="75">
        <v>330</v>
      </c>
      <c r="AJ158" s="26">
        <v>650</v>
      </c>
      <c r="AK158" s="13">
        <f t="shared" si="22"/>
        <v>69.069000000000003</v>
      </c>
      <c r="AL158" s="13">
        <f t="shared" si="23"/>
        <v>37.573536000000004</v>
      </c>
      <c r="AM158" s="27">
        <v>225947.38</v>
      </c>
      <c r="AN158" s="20">
        <f t="shared" si="24"/>
        <v>56350</v>
      </c>
      <c r="AO158" s="23">
        <f t="shared" si="25"/>
        <v>0.68</v>
      </c>
      <c r="AP158" s="24">
        <f t="shared" si="26"/>
        <v>1.3178084967631456</v>
      </c>
    </row>
    <row r="159" spans="1:42" x14ac:dyDescent="0.3">
      <c r="A159" t="s">
        <v>686</v>
      </c>
      <c r="B159" s="6" t="s">
        <v>399</v>
      </c>
      <c r="C159" s="15" t="s">
        <v>509</v>
      </c>
      <c r="D159" s="5" t="s">
        <v>550</v>
      </c>
      <c r="E159" s="19">
        <v>1</v>
      </c>
      <c r="F159" s="17"/>
      <c r="G159" s="17"/>
      <c r="H159" s="17"/>
      <c r="I159" s="17"/>
      <c r="J159" s="16">
        <v>294</v>
      </c>
      <c r="K159" s="5" t="s">
        <v>168</v>
      </c>
      <c r="L159" s="6" t="s">
        <v>189</v>
      </c>
      <c r="M159" s="104"/>
      <c r="N159" s="6" t="s">
        <v>190</v>
      </c>
      <c r="O159" s="5" t="s">
        <v>714</v>
      </c>
      <c r="P159" s="6" t="s">
        <v>27</v>
      </c>
      <c r="Q159" s="7">
        <v>2027</v>
      </c>
      <c r="R159" s="8">
        <v>0.54400000000000004</v>
      </c>
      <c r="S159" s="8">
        <v>0.31999999999999995</v>
      </c>
      <c r="T159" s="9">
        <f t="shared" si="18"/>
        <v>0.86399999999999999</v>
      </c>
      <c r="U159" s="8">
        <v>7.0000000000000007E-2</v>
      </c>
      <c r="V159" s="8">
        <v>9.5000000000000001E-2</v>
      </c>
      <c r="W159" s="8">
        <v>6.8000000000000005E-2</v>
      </c>
      <c r="X159" s="10">
        <v>0.24543999999999996</v>
      </c>
      <c r="Y159" s="8">
        <v>0.13600000000000001</v>
      </c>
      <c r="Z159" s="11">
        <v>46751</v>
      </c>
      <c r="AA159" s="12"/>
      <c r="AB159" s="22">
        <f t="shared" si="19"/>
        <v>191004.48</v>
      </c>
      <c r="AC159" s="22"/>
      <c r="AD159" s="4">
        <v>32.79086324583217</v>
      </c>
      <c r="AE159" s="14">
        <f t="shared" si="20"/>
        <v>0.24525126505508565</v>
      </c>
      <c r="AF159" s="13">
        <f t="shared" si="21"/>
        <v>33.425784</v>
      </c>
      <c r="AG159" s="4">
        <v>175</v>
      </c>
      <c r="AH159" s="4">
        <v>314.15210526315792</v>
      </c>
      <c r="AI159" s="4">
        <v>608</v>
      </c>
      <c r="AJ159" s="4">
        <v>700</v>
      </c>
      <c r="AK159" s="13">
        <f t="shared" si="22"/>
        <v>133.70313600000003</v>
      </c>
      <c r="AL159" s="13">
        <f t="shared" si="23"/>
        <v>72.734505984000023</v>
      </c>
      <c r="AM159" s="27">
        <v>219906.47</v>
      </c>
      <c r="AN159" s="20">
        <f t="shared" si="24"/>
        <v>54976.618421052633</v>
      </c>
      <c r="AO159" s="23">
        <f t="shared" si="25"/>
        <v>0.68</v>
      </c>
      <c r="AP159" s="24">
        <f t="shared" si="26"/>
        <v>1.3730404099510281</v>
      </c>
    </row>
    <row r="160" spans="1:42" x14ac:dyDescent="0.3">
      <c r="A160" t="s">
        <v>643</v>
      </c>
      <c r="B160" s="6" t="s">
        <v>400</v>
      </c>
      <c r="C160" s="15" t="s">
        <v>508</v>
      </c>
      <c r="D160" s="5" t="s">
        <v>550</v>
      </c>
      <c r="E160" s="19">
        <v>1</v>
      </c>
      <c r="F160" s="17"/>
      <c r="G160" s="17"/>
      <c r="H160" s="17"/>
      <c r="I160" s="17"/>
      <c r="J160" s="16">
        <v>295</v>
      </c>
      <c r="K160" s="5" t="s">
        <v>168</v>
      </c>
      <c r="L160" s="6" t="s">
        <v>191</v>
      </c>
      <c r="M160" s="104"/>
      <c r="N160" s="6" t="s">
        <v>192</v>
      </c>
      <c r="O160" s="5" t="s">
        <v>714</v>
      </c>
      <c r="P160" s="6" t="s">
        <v>27</v>
      </c>
      <c r="Q160" s="7">
        <v>2026</v>
      </c>
      <c r="R160" s="8">
        <v>0.55600000000000005</v>
      </c>
      <c r="S160" s="8">
        <v>0.30499999999999994</v>
      </c>
      <c r="T160" s="9">
        <f t="shared" si="18"/>
        <v>0.86099999999999999</v>
      </c>
      <c r="U160" s="8">
        <v>7.0000000000000007E-2</v>
      </c>
      <c r="V160" s="8">
        <v>0</v>
      </c>
      <c r="W160" s="8">
        <v>6.8000000000000005E-2</v>
      </c>
      <c r="X160" s="10">
        <v>0.26290999999999992</v>
      </c>
      <c r="Y160" s="8">
        <v>0.13900000000000001</v>
      </c>
      <c r="Z160" s="11">
        <v>46203</v>
      </c>
      <c r="AA160" s="12"/>
      <c r="AB160" s="22">
        <f>AH160*AI160</f>
        <v>126125.46100000001</v>
      </c>
      <c r="AC160" s="22"/>
      <c r="AD160" s="4">
        <v>28.564931776558716</v>
      </c>
      <c r="AE160" s="14">
        <f t="shared" si="20"/>
        <v>0.28310037035819746</v>
      </c>
      <c r="AF160" s="13">
        <f t="shared" si="21"/>
        <v>22.071955675000002</v>
      </c>
      <c r="AG160" s="4">
        <v>175</v>
      </c>
      <c r="AH160" s="4">
        <v>257.39890000000003</v>
      </c>
      <c r="AI160" s="26">
        <v>490</v>
      </c>
      <c r="AJ160" s="4">
        <v>800</v>
      </c>
      <c r="AK160" s="13">
        <f>(AJ160*AI160*AH160)/10^6</f>
        <v>100.90036880000001</v>
      </c>
      <c r="AL160" s="13">
        <f t="shared" si="23"/>
        <v>56.100605052800013</v>
      </c>
      <c r="AM160" s="27">
        <v>213697.8</v>
      </c>
      <c r="AN160" s="20">
        <f t="shared" si="24"/>
        <v>45044.807500000003</v>
      </c>
      <c r="AO160" s="23">
        <f t="shared" si="25"/>
        <v>0.69500000000000006</v>
      </c>
      <c r="AP160" s="24">
        <f t="shared" si="26"/>
        <v>1.3848749369337743</v>
      </c>
    </row>
    <row r="161" spans="1:42" x14ac:dyDescent="0.3">
      <c r="A161" t="s">
        <v>644</v>
      </c>
      <c r="B161" s="6" t="s">
        <v>401</v>
      </c>
      <c r="C161" s="15" t="s">
        <v>508</v>
      </c>
      <c r="D161" s="5" t="s">
        <v>550</v>
      </c>
      <c r="E161" s="19">
        <v>1</v>
      </c>
      <c r="F161" s="17"/>
      <c r="G161" s="17"/>
      <c r="H161" s="17"/>
      <c r="I161" s="17"/>
      <c r="J161" s="16">
        <v>296</v>
      </c>
      <c r="K161" s="5" t="s">
        <v>168</v>
      </c>
      <c r="L161" s="6" t="s">
        <v>191</v>
      </c>
      <c r="M161" s="104"/>
      <c r="N161" s="6" t="s">
        <v>193</v>
      </c>
      <c r="O161" s="5" t="s">
        <v>715</v>
      </c>
      <c r="P161" s="6" t="s">
        <v>27</v>
      </c>
      <c r="Q161" s="7">
        <v>2028</v>
      </c>
      <c r="R161" s="8">
        <v>0.55600000000000005</v>
      </c>
      <c r="S161" s="8">
        <v>0.30499999999999994</v>
      </c>
      <c r="T161" s="9">
        <f t="shared" si="18"/>
        <v>0.86099999999999999</v>
      </c>
      <c r="U161" s="8">
        <v>7.0000000000000007E-2</v>
      </c>
      <c r="V161" s="8">
        <v>0</v>
      </c>
      <c r="W161" s="8">
        <v>6.8000000000000005E-2</v>
      </c>
      <c r="X161" s="10">
        <v>0.26290999999999992</v>
      </c>
      <c r="Y161" s="8">
        <v>0.13900000000000001</v>
      </c>
      <c r="Z161" s="11">
        <v>46934</v>
      </c>
      <c r="AA161" s="12"/>
      <c r="AB161" s="22">
        <f t="shared" si="19"/>
        <v>51429.97</v>
      </c>
      <c r="AC161" s="22"/>
      <c r="AD161" s="4">
        <v>12.047704595764888</v>
      </c>
      <c r="AE161" s="14">
        <f t="shared" si="20"/>
        <v>0.29281819034127587</v>
      </c>
      <c r="AF161" s="13">
        <f t="shared" si="21"/>
        <v>9.0002447500000002</v>
      </c>
      <c r="AG161" s="4">
        <v>175</v>
      </c>
      <c r="AH161" s="4">
        <v>257.14985000000001</v>
      </c>
      <c r="AI161" s="4">
        <v>200</v>
      </c>
      <c r="AJ161" s="4">
        <v>800</v>
      </c>
      <c r="AK161" s="13">
        <f t="shared" si="22"/>
        <v>41.143976000000002</v>
      </c>
      <c r="AL161" s="13">
        <f t="shared" si="23"/>
        <v>22.876050656000004</v>
      </c>
      <c r="AM161" s="20">
        <v>205719.88</v>
      </c>
      <c r="AN161" s="20">
        <f t="shared" si="24"/>
        <v>45001.223750000005</v>
      </c>
      <c r="AO161" s="23">
        <f t="shared" si="25"/>
        <v>0.69500000000000006</v>
      </c>
      <c r="AP161" s="24">
        <f t="shared" si="26"/>
        <v>1.3585676614027813</v>
      </c>
    </row>
    <row r="162" spans="1:42" x14ac:dyDescent="0.3">
      <c r="A162" t="s">
        <v>645</v>
      </c>
      <c r="B162" s="6" t="s">
        <v>402</v>
      </c>
      <c r="C162" s="15" t="s">
        <v>508</v>
      </c>
      <c r="D162" s="5" t="s">
        <v>550</v>
      </c>
      <c r="E162" s="19">
        <v>1</v>
      </c>
      <c r="F162" s="17"/>
      <c r="G162" s="17"/>
      <c r="H162" s="17"/>
      <c r="I162" s="17"/>
      <c r="J162" s="16">
        <v>297</v>
      </c>
      <c r="K162" s="5" t="s">
        <v>168</v>
      </c>
      <c r="L162" s="6" t="s">
        <v>191</v>
      </c>
      <c r="M162" s="104"/>
      <c r="N162" s="6" t="s">
        <v>194</v>
      </c>
      <c r="O162" s="5" t="s">
        <v>714</v>
      </c>
      <c r="P162" s="6" t="s">
        <v>80</v>
      </c>
      <c r="Q162" s="7">
        <v>2026</v>
      </c>
      <c r="R162" s="8">
        <v>0.55600000000000005</v>
      </c>
      <c r="S162" s="8">
        <v>0.30499999999999994</v>
      </c>
      <c r="T162" s="9">
        <f t="shared" si="18"/>
        <v>0.86099999999999999</v>
      </c>
      <c r="U162" s="8">
        <v>7.0000000000000007E-2</v>
      </c>
      <c r="V162" s="8">
        <v>0</v>
      </c>
      <c r="W162" s="8">
        <v>6.8000000000000005E-2</v>
      </c>
      <c r="X162" s="10">
        <v>0.26290999999999992</v>
      </c>
      <c r="Y162" s="8">
        <v>0.13900000000000001</v>
      </c>
      <c r="Z162" s="11">
        <v>46203</v>
      </c>
      <c r="AA162" s="12"/>
      <c r="AB162" s="22">
        <f t="shared" si="19"/>
        <v>101592</v>
      </c>
      <c r="AC162" s="22"/>
      <c r="AD162" s="4">
        <v>41.594787949442981</v>
      </c>
      <c r="AE162" s="14">
        <f t="shared" si="20"/>
        <v>0.27295317183402223</v>
      </c>
      <c r="AF162" s="13">
        <f t="shared" si="21"/>
        <v>35.557200000000002</v>
      </c>
      <c r="AG162" s="4">
        <v>350</v>
      </c>
      <c r="AH162" s="26">
        <v>332</v>
      </c>
      <c r="AI162" s="26">
        <v>306</v>
      </c>
      <c r="AJ162" s="4">
        <v>1500</v>
      </c>
      <c r="AK162" s="13">
        <f t="shared" si="22"/>
        <v>152.38800000000001</v>
      </c>
      <c r="AL162" s="13">
        <f t="shared" si="23"/>
        <v>84.727728000000013</v>
      </c>
      <c r="AM162" s="27">
        <v>498287.99</v>
      </c>
      <c r="AN162" s="20">
        <f t="shared" si="24"/>
        <v>116200</v>
      </c>
      <c r="AO162" s="23">
        <f t="shared" si="25"/>
        <v>0.69500000000000006</v>
      </c>
      <c r="AP162" s="24">
        <f t="shared" si="26"/>
        <v>1.372740519264412</v>
      </c>
    </row>
    <row r="163" spans="1:42" x14ac:dyDescent="0.3">
      <c r="A163" t="s">
        <v>646</v>
      </c>
      <c r="B163" s="6" t="s">
        <v>403</v>
      </c>
      <c r="C163" s="15" t="s">
        <v>508</v>
      </c>
      <c r="D163" s="5" t="s">
        <v>550</v>
      </c>
      <c r="E163" s="19">
        <v>1</v>
      </c>
      <c r="F163" s="17"/>
      <c r="G163" s="17"/>
      <c r="H163" s="17"/>
      <c r="I163" s="17"/>
      <c r="J163" s="16">
        <v>298</v>
      </c>
      <c r="K163" s="5" t="s">
        <v>168</v>
      </c>
      <c r="L163" s="6" t="s">
        <v>191</v>
      </c>
      <c r="M163" s="104"/>
      <c r="N163" s="6" t="s">
        <v>195</v>
      </c>
      <c r="O163" s="5" t="s">
        <v>715</v>
      </c>
      <c r="P163" s="6" t="s">
        <v>80</v>
      </c>
      <c r="Q163" s="7">
        <v>2028</v>
      </c>
      <c r="R163" s="8">
        <v>0.55600000000000005</v>
      </c>
      <c r="S163" s="8">
        <v>0.30499999999999994</v>
      </c>
      <c r="T163" s="9">
        <f t="shared" si="18"/>
        <v>0.86099999999999999</v>
      </c>
      <c r="U163" s="8">
        <v>7.0000000000000007E-2</v>
      </c>
      <c r="V163" s="8">
        <v>0</v>
      </c>
      <c r="W163" s="8">
        <v>6.8000000000000005E-2</v>
      </c>
      <c r="X163" s="10">
        <v>0.26290999999999992</v>
      </c>
      <c r="Y163" s="8">
        <v>0.13900000000000001</v>
      </c>
      <c r="Z163" s="11">
        <v>46934</v>
      </c>
      <c r="AA163" s="12"/>
      <c r="AB163" s="22">
        <f t="shared" si="19"/>
        <v>107550.00000000001</v>
      </c>
      <c r="AC163" s="22"/>
      <c r="AD163" s="4">
        <v>47.238894556806336</v>
      </c>
      <c r="AE163" s="14">
        <f t="shared" si="20"/>
        <v>0.29281819034127593</v>
      </c>
      <c r="AF163" s="13">
        <f t="shared" si="21"/>
        <v>37.642499999999998</v>
      </c>
      <c r="AG163" s="4">
        <v>350</v>
      </c>
      <c r="AH163" s="4">
        <v>325.90909090909093</v>
      </c>
      <c r="AI163" s="4">
        <v>330</v>
      </c>
      <c r="AJ163" s="4">
        <v>1500</v>
      </c>
      <c r="AK163" s="13">
        <f t="shared" si="22"/>
        <v>161.32499999999999</v>
      </c>
      <c r="AL163" s="13">
        <f t="shared" si="23"/>
        <v>89.696700000000007</v>
      </c>
      <c r="AM163" s="20">
        <v>488863.63636363641</v>
      </c>
      <c r="AN163" s="20">
        <f t="shared" si="24"/>
        <v>114068.18181818182</v>
      </c>
      <c r="AO163" s="23">
        <f t="shared" si="25"/>
        <v>0.69500000000000006</v>
      </c>
      <c r="AP163" s="24">
        <f t="shared" si="26"/>
        <v>1.3209122633460484</v>
      </c>
    </row>
    <row r="164" spans="1:42" x14ac:dyDescent="0.3">
      <c r="A164" t="s">
        <v>647</v>
      </c>
      <c r="B164" s="6" t="s">
        <v>404</v>
      </c>
      <c r="C164" s="15" t="s">
        <v>503</v>
      </c>
      <c r="D164" s="5" t="s">
        <v>550</v>
      </c>
      <c r="E164" s="19">
        <v>1</v>
      </c>
      <c r="F164" s="17"/>
      <c r="G164" s="17"/>
      <c r="H164" s="17"/>
      <c r="I164" s="17"/>
      <c r="J164" s="16">
        <v>299</v>
      </c>
      <c r="K164" s="5" t="s">
        <v>168</v>
      </c>
      <c r="L164" s="6" t="s">
        <v>196</v>
      </c>
      <c r="M164" s="104"/>
      <c r="N164" s="6" t="s">
        <v>197</v>
      </c>
      <c r="O164" s="5" t="s">
        <v>714</v>
      </c>
      <c r="P164" s="6" t="s">
        <v>27</v>
      </c>
      <c r="Q164" s="7">
        <v>2027</v>
      </c>
      <c r="R164" s="8">
        <v>0.4</v>
      </c>
      <c r="S164" s="8">
        <v>0</v>
      </c>
      <c r="T164" s="9">
        <f t="shared" si="18"/>
        <v>0.4</v>
      </c>
      <c r="U164" s="8">
        <v>7.0000000000000007E-2</v>
      </c>
      <c r="V164" s="8">
        <v>9.5000000000000001E-2</v>
      </c>
      <c r="W164" s="8">
        <v>6.8000000000000005E-2</v>
      </c>
      <c r="X164" s="10">
        <v>0</v>
      </c>
      <c r="Y164" s="8">
        <v>0.6</v>
      </c>
      <c r="Z164" s="11">
        <v>46568</v>
      </c>
      <c r="AA164" s="12"/>
      <c r="AB164" s="22">
        <f t="shared" si="19"/>
        <v>233707.6</v>
      </c>
      <c r="AC164" s="22"/>
      <c r="AD164" s="4">
        <v>0</v>
      </c>
      <c r="AE164" s="14">
        <f t="shared" si="20"/>
        <v>0</v>
      </c>
      <c r="AF164" s="13">
        <f t="shared" si="21"/>
        <v>40.898829999999997</v>
      </c>
      <c r="AG164" s="4">
        <v>175</v>
      </c>
      <c r="AH164" s="75">
        <v>307.51</v>
      </c>
      <c r="AI164" s="75">
        <v>760</v>
      </c>
      <c r="AJ164" s="4">
        <v>750</v>
      </c>
      <c r="AK164" s="13">
        <f t="shared" si="22"/>
        <v>175.2807</v>
      </c>
      <c r="AL164" s="13">
        <f t="shared" si="23"/>
        <v>70.112279999999998</v>
      </c>
      <c r="AM164" s="20">
        <v>251146.77607361967</v>
      </c>
      <c r="AN164" s="20">
        <f t="shared" si="24"/>
        <v>53814.25</v>
      </c>
      <c r="AO164" s="23">
        <f t="shared" si="25"/>
        <v>1</v>
      </c>
      <c r="AP164" s="24">
        <f t="shared" si="26"/>
        <v>4.2857142857142856</v>
      </c>
    </row>
    <row r="165" spans="1:42" x14ac:dyDescent="0.3">
      <c r="A165" t="s">
        <v>648</v>
      </c>
      <c r="B165" s="6" t="s">
        <v>405</v>
      </c>
      <c r="C165" s="15" t="s">
        <v>506</v>
      </c>
      <c r="D165" s="5" t="s">
        <v>550</v>
      </c>
      <c r="E165" s="19">
        <v>1</v>
      </c>
      <c r="F165" s="17"/>
      <c r="G165" s="17"/>
      <c r="H165" s="17"/>
      <c r="I165" s="17"/>
      <c r="J165" s="16">
        <v>300</v>
      </c>
      <c r="K165" s="5" t="s">
        <v>168</v>
      </c>
      <c r="L165" s="6" t="s">
        <v>196</v>
      </c>
      <c r="M165" s="104"/>
      <c r="N165" s="6" t="s">
        <v>198</v>
      </c>
      <c r="O165" s="5" t="s">
        <v>714</v>
      </c>
      <c r="P165" s="6" t="s">
        <v>27</v>
      </c>
      <c r="Q165" s="7">
        <v>2026</v>
      </c>
      <c r="R165" s="8">
        <v>0.4</v>
      </c>
      <c r="S165" s="8">
        <v>0.5</v>
      </c>
      <c r="T165" s="9">
        <f t="shared" si="18"/>
        <v>0.9</v>
      </c>
      <c r="U165" s="8">
        <v>7.0000000000000007E-2</v>
      </c>
      <c r="V165" s="8">
        <v>9.5000000000000001E-2</v>
      </c>
      <c r="W165" s="8">
        <v>6.8000000000000005E-2</v>
      </c>
      <c r="X165" s="10">
        <v>0.38350000000000001</v>
      </c>
      <c r="Y165" s="8">
        <v>9.9999999999999978E-2</v>
      </c>
      <c r="Z165" s="11">
        <v>46203</v>
      </c>
      <c r="AA165" s="12"/>
      <c r="AB165" s="22">
        <f t="shared" si="19"/>
        <v>264827.8</v>
      </c>
      <c r="AC165" s="22"/>
      <c r="AD165" s="4">
        <v>79.035129183660018</v>
      </c>
      <c r="AE165" s="14">
        <f t="shared" si="20"/>
        <v>0.35110552941176476</v>
      </c>
      <c r="AF165" s="13">
        <f t="shared" si="21"/>
        <v>46.344864999999999</v>
      </c>
      <c r="AG165" s="4">
        <v>175</v>
      </c>
      <c r="AH165" s="4">
        <v>432.72516339869281</v>
      </c>
      <c r="AI165" s="4">
        <v>612</v>
      </c>
      <c r="AJ165" s="26">
        <v>850</v>
      </c>
      <c r="AK165" s="13">
        <f t="shared" si="22"/>
        <v>225.10363000000001</v>
      </c>
      <c r="AL165" s="13">
        <f t="shared" si="23"/>
        <v>90.041452000000007</v>
      </c>
      <c r="AM165" s="27">
        <v>367816.39</v>
      </c>
      <c r="AN165" s="20">
        <f t="shared" si="24"/>
        <v>75726.90359477124</v>
      </c>
      <c r="AO165" s="23">
        <f t="shared" si="25"/>
        <v>0.5</v>
      </c>
      <c r="AP165" s="24">
        <f t="shared" si="26"/>
        <v>0.89768559755339483</v>
      </c>
    </row>
    <row r="166" spans="1:42" x14ac:dyDescent="0.3">
      <c r="A166" t="s">
        <v>649</v>
      </c>
      <c r="B166" s="6" t="s">
        <v>406</v>
      </c>
      <c r="C166" s="15" t="s">
        <v>502</v>
      </c>
      <c r="D166" s="5" t="s">
        <v>550</v>
      </c>
      <c r="E166" s="19">
        <v>1</v>
      </c>
      <c r="F166" s="17"/>
      <c r="G166" s="17"/>
      <c r="H166" s="17"/>
      <c r="I166" s="17"/>
      <c r="J166" s="16">
        <v>301</v>
      </c>
      <c r="K166" s="5" t="s">
        <v>168</v>
      </c>
      <c r="L166" s="6" t="s">
        <v>196</v>
      </c>
      <c r="M166" s="104"/>
      <c r="N166" s="6" t="s">
        <v>199</v>
      </c>
      <c r="O166" s="5" t="s">
        <v>714</v>
      </c>
      <c r="P166" s="6" t="s">
        <v>27</v>
      </c>
      <c r="Q166" s="7">
        <v>2026</v>
      </c>
      <c r="R166" s="8">
        <v>0.4</v>
      </c>
      <c r="S166" s="8">
        <v>0.5</v>
      </c>
      <c r="T166" s="9">
        <f t="shared" si="18"/>
        <v>0.9</v>
      </c>
      <c r="U166" s="8">
        <v>7.0000000000000007E-2</v>
      </c>
      <c r="V166" s="8">
        <v>9.5000000000000001E-2</v>
      </c>
      <c r="W166" s="8">
        <v>6.8000000000000005E-2</v>
      </c>
      <c r="X166" s="10">
        <v>0.38350000000000001</v>
      </c>
      <c r="Y166" s="8">
        <v>9.9999999999999978E-2</v>
      </c>
      <c r="Z166" s="11">
        <v>46387</v>
      </c>
      <c r="AA166" s="12"/>
      <c r="AB166" s="22">
        <f t="shared" si="19"/>
        <v>159307.14000000001</v>
      </c>
      <c r="AC166" s="22"/>
      <c r="AD166" s="4">
        <v>47.543575069458015</v>
      </c>
      <c r="AE166" s="14">
        <f t="shared" si="20"/>
        <v>0.37304962500000005</v>
      </c>
      <c r="AF166" s="13">
        <f t="shared" si="21"/>
        <v>27.878749500000009</v>
      </c>
      <c r="AG166" s="4">
        <v>175</v>
      </c>
      <c r="AH166" s="4">
        <v>375.72438679245289</v>
      </c>
      <c r="AI166" s="4">
        <v>424</v>
      </c>
      <c r="AJ166" s="26">
        <v>800</v>
      </c>
      <c r="AK166" s="13">
        <f t="shared" si="22"/>
        <v>127.44571200000001</v>
      </c>
      <c r="AL166" s="13">
        <f t="shared" si="23"/>
        <v>50.978284800000012</v>
      </c>
      <c r="AM166" s="27">
        <v>300579.51</v>
      </c>
      <c r="AN166" s="20">
        <f t="shared" si="24"/>
        <v>65751.767688679261</v>
      </c>
      <c r="AO166" s="23">
        <f t="shared" si="25"/>
        <v>0.5</v>
      </c>
      <c r="AP166" s="24">
        <f t="shared" si="26"/>
        <v>0.84488056240319498</v>
      </c>
    </row>
    <row r="167" spans="1:42" x14ac:dyDescent="0.3">
      <c r="A167" t="s">
        <v>650</v>
      </c>
      <c r="B167" s="6" t="s">
        <v>407</v>
      </c>
      <c r="C167" s="15" t="s">
        <v>504</v>
      </c>
      <c r="D167" s="5" t="s">
        <v>550</v>
      </c>
      <c r="E167" s="19">
        <v>1</v>
      </c>
      <c r="F167" s="17"/>
      <c r="G167" s="17"/>
      <c r="H167" s="17"/>
      <c r="I167" s="17"/>
      <c r="J167" s="16">
        <v>302</v>
      </c>
      <c r="K167" s="5" t="s">
        <v>168</v>
      </c>
      <c r="L167" s="6" t="s">
        <v>196</v>
      </c>
      <c r="M167" s="104"/>
      <c r="N167" s="6" t="s">
        <v>200</v>
      </c>
      <c r="O167" s="5" t="s">
        <v>715</v>
      </c>
      <c r="P167" s="6" t="s">
        <v>27</v>
      </c>
      <c r="Q167" s="7">
        <v>2028</v>
      </c>
      <c r="R167" s="8">
        <v>0.4</v>
      </c>
      <c r="S167" s="8">
        <v>0.5</v>
      </c>
      <c r="T167" s="9">
        <f t="shared" si="18"/>
        <v>0.9</v>
      </c>
      <c r="U167" s="8">
        <v>7.0000000000000007E-2</v>
      </c>
      <c r="V167" s="8">
        <v>9.5000000000000001E-2</v>
      </c>
      <c r="W167" s="8">
        <v>6.8000000000000005E-2</v>
      </c>
      <c r="X167" s="10">
        <v>0.38350000000000001</v>
      </c>
      <c r="Y167" s="8">
        <v>9.9999999999999978E-2</v>
      </c>
      <c r="Z167" s="11">
        <v>47026</v>
      </c>
      <c r="AA167" s="12"/>
      <c r="AB167" s="22">
        <f t="shared" si="19"/>
        <v>79997.34</v>
      </c>
      <c r="AC167" s="22"/>
      <c r="AD167" s="4">
        <v>23.918277589419716</v>
      </c>
      <c r="AE167" s="14">
        <f t="shared" si="20"/>
        <v>0.39865121497655992</v>
      </c>
      <c r="AF167" s="13">
        <f t="shared" si="21"/>
        <v>13.999534499999998</v>
      </c>
      <c r="AG167" s="4">
        <v>175</v>
      </c>
      <c r="AH167" s="4">
        <v>330.567520661157</v>
      </c>
      <c r="AI167" s="4">
        <v>242</v>
      </c>
      <c r="AJ167" s="26">
        <v>750</v>
      </c>
      <c r="AK167" s="13">
        <f t="shared" si="22"/>
        <v>59.998004999999999</v>
      </c>
      <c r="AL167" s="13">
        <f t="shared" si="23"/>
        <v>23.999202</v>
      </c>
      <c r="AM167" s="27">
        <v>247925.64</v>
      </c>
      <c r="AN167" s="20">
        <f t="shared" si="24"/>
        <v>57849.316115702473</v>
      </c>
      <c r="AO167" s="23">
        <f t="shared" si="25"/>
        <v>0.5</v>
      </c>
      <c r="AP167" s="24">
        <f t="shared" si="26"/>
        <v>0.79115858344502654</v>
      </c>
    </row>
    <row r="168" spans="1:42" x14ac:dyDescent="0.3">
      <c r="A168" t="s">
        <v>651</v>
      </c>
      <c r="B168" s="6" t="s">
        <v>408</v>
      </c>
      <c r="C168" s="15" t="s">
        <v>505</v>
      </c>
      <c r="D168" s="5" t="s">
        <v>550</v>
      </c>
      <c r="E168" s="19">
        <v>1</v>
      </c>
      <c r="F168" s="17"/>
      <c r="G168" s="17"/>
      <c r="H168" s="17"/>
      <c r="I168" s="17"/>
      <c r="J168" s="16">
        <v>303</v>
      </c>
      <c r="K168" s="5" t="s">
        <v>168</v>
      </c>
      <c r="L168" s="6" t="s">
        <v>196</v>
      </c>
      <c r="M168" s="104"/>
      <c r="N168" s="6" t="s">
        <v>201</v>
      </c>
      <c r="O168" s="5" t="s">
        <v>715</v>
      </c>
      <c r="P168" s="6" t="s">
        <v>27</v>
      </c>
      <c r="Q168" s="7">
        <v>2029</v>
      </c>
      <c r="R168" s="8">
        <v>0.4</v>
      </c>
      <c r="S168" s="8">
        <v>0.5</v>
      </c>
      <c r="T168" s="9">
        <f t="shared" si="18"/>
        <v>0.9</v>
      </c>
      <c r="U168" s="8">
        <v>7.0000000000000007E-2</v>
      </c>
      <c r="V168" s="8">
        <v>9.5000000000000001E-2</v>
      </c>
      <c r="W168" s="8">
        <v>6.8000000000000005E-2</v>
      </c>
      <c r="X168" s="10">
        <v>0.38350000000000001</v>
      </c>
      <c r="Y168" s="8">
        <v>9.9999999999999978E-2</v>
      </c>
      <c r="Z168" s="11">
        <v>47391</v>
      </c>
      <c r="AA168" s="12"/>
      <c r="AB168" s="22">
        <f t="shared" si="19"/>
        <v>150500</v>
      </c>
      <c r="AC168" s="22"/>
      <c r="AD168" s="4">
        <v>46.572677346645968</v>
      </c>
      <c r="AE168" s="14">
        <f t="shared" si="20"/>
        <v>0.41260400750073944</v>
      </c>
      <c r="AF168" s="13">
        <f t="shared" si="21"/>
        <v>26.337499999999995</v>
      </c>
      <c r="AG168" s="4">
        <v>175</v>
      </c>
      <c r="AH168" s="4">
        <v>446.58753709198811</v>
      </c>
      <c r="AI168" s="4">
        <v>337</v>
      </c>
      <c r="AJ168" s="26">
        <v>750</v>
      </c>
      <c r="AK168" s="13">
        <f t="shared" si="22"/>
        <v>112.875</v>
      </c>
      <c r="AL168" s="13">
        <f t="shared" si="23"/>
        <v>45.150000000000006</v>
      </c>
      <c r="AM168" s="27">
        <v>334940.65000000002</v>
      </c>
      <c r="AN168" s="20">
        <f t="shared" si="24"/>
        <v>78152.818991097913</v>
      </c>
      <c r="AO168" s="23">
        <f t="shared" si="25"/>
        <v>0.5</v>
      </c>
      <c r="AP168" s="24">
        <f t="shared" si="26"/>
        <v>0.77406888933587614</v>
      </c>
    </row>
    <row r="169" spans="1:42" x14ac:dyDescent="0.3">
      <c r="A169" t="s">
        <v>652</v>
      </c>
      <c r="B169" s="6" t="s">
        <v>409</v>
      </c>
      <c r="C169" s="15" t="s">
        <v>507</v>
      </c>
      <c r="D169" s="5" t="s">
        <v>550</v>
      </c>
      <c r="E169" s="19">
        <v>1</v>
      </c>
      <c r="F169" s="17"/>
      <c r="G169" s="17"/>
      <c r="H169" s="17"/>
      <c r="I169" s="17"/>
      <c r="J169" s="16">
        <v>304</v>
      </c>
      <c r="K169" s="5" t="s">
        <v>168</v>
      </c>
      <c r="L169" s="6" t="s">
        <v>196</v>
      </c>
      <c r="M169" s="104"/>
      <c r="N169" s="6" t="s">
        <v>202</v>
      </c>
      <c r="O169" s="5" t="s">
        <v>715</v>
      </c>
      <c r="P169" s="6" t="s">
        <v>27</v>
      </c>
      <c r="Q169" s="7">
        <v>2030</v>
      </c>
      <c r="R169" s="8">
        <v>0.47199999999999998</v>
      </c>
      <c r="S169" s="8">
        <v>0.41000000000000003</v>
      </c>
      <c r="T169" s="9">
        <f t="shared" si="18"/>
        <v>0.88200000000000001</v>
      </c>
      <c r="U169" s="8">
        <v>7.0000000000000007E-2</v>
      </c>
      <c r="V169" s="8">
        <v>9.5000000000000001E-2</v>
      </c>
      <c r="W169" s="8">
        <v>6.8000000000000005E-2</v>
      </c>
      <c r="X169" s="10">
        <v>0.31447000000000003</v>
      </c>
      <c r="Y169" s="8">
        <v>0.11799999999999999</v>
      </c>
      <c r="Z169" s="11">
        <v>47848</v>
      </c>
      <c r="AA169" s="12"/>
      <c r="AB169" s="28">
        <f>AH169*AI169</f>
        <v>82440</v>
      </c>
      <c r="AC169" s="28"/>
      <c r="AD169" s="4">
        <v>36.768587222417153</v>
      </c>
      <c r="AE169" s="14">
        <f t="shared" si="20"/>
        <v>0.44600421181971317</v>
      </c>
      <c r="AF169" s="13">
        <f t="shared" si="21"/>
        <v>14.427</v>
      </c>
      <c r="AG169" s="4">
        <v>175</v>
      </c>
      <c r="AH169" s="26">
        <v>360</v>
      </c>
      <c r="AI169" s="26">
        <v>229</v>
      </c>
      <c r="AJ169" s="4">
        <v>1000</v>
      </c>
      <c r="AK169" s="13">
        <f t="shared" si="22"/>
        <v>82.44</v>
      </c>
      <c r="AL169" s="13">
        <f t="shared" si="23"/>
        <v>38.911679999999997</v>
      </c>
      <c r="AM169" s="27">
        <v>360165.41</v>
      </c>
      <c r="AN169" s="20">
        <f t="shared" si="24"/>
        <v>63000</v>
      </c>
      <c r="AO169" s="23">
        <f t="shared" si="25"/>
        <v>0.59</v>
      </c>
      <c r="AP169" s="24">
        <f t="shared" si="26"/>
        <v>0.95007407159306967</v>
      </c>
    </row>
    <row r="170" spans="1:42" x14ac:dyDescent="0.3">
      <c r="A170" t="s">
        <v>653</v>
      </c>
      <c r="B170" s="6" t="s">
        <v>410</v>
      </c>
      <c r="C170" s="15" t="s">
        <v>501</v>
      </c>
      <c r="D170" s="5" t="s">
        <v>550</v>
      </c>
      <c r="E170" s="19">
        <v>1</v>
      </c>
      <c r="F170" s="17"/>
      <c r="G170" s="17"/>
      <c r="H170" s="17"/>
      <c r="I170" s="17"/>
      <c r="J170" s="16">
        <v>305</v>
      </c>
      <c r="K170" s="5" t="s">
        <v>168</v>
      </c>
      <c r="L170" s="6" t="s">
        <v>203</v>
      </c>
      <c r="M170" s="104"/>
      <c r="N170" s="6" t="s">
        <v>204</v>
      </c>
      <c r="O170" s="5" t="s">
        <v>715</v>
      </c>
      <c r="P170" s="6" t="s">
        <v>27</v>
      </c>
      <c r="Q170" s="7">
        <v>2027</v>
      </c>
      <c r="R170" s="8">
        <v>0.59179999999999999</v>
      </c>
      <c r="S170" s="8">
        <v>0.26029999999999998</v>
      </c>
      <c r="T170" s="9">
        <f t="shared" si="18"/>
        <v>0.85209999999999997</v>
      </c>
      <c r="U170" s="8">
        <v>7.0000000000000007E-2</v>
      </c>
      <c r="V170" s="8">
        <v>9.5000000000000001E-2</v>
      </c>
      <c r="W170" s="8">
        <v>6.8000000000000005E-2</v>
      </c>
      <c r="X170" s="10">
        <v>0.19965009999999997</v>
      </c>
      <c r="Y170" s="8">
        <v>0.14790000000000003</v>
      </c>
      <c r="Z170" s="11">
        <v>46568</v>
      </c>
      <c r="AA170" s="12"/>
      <c r="AB170" s="22">
        <f t="shared" si="19"/>
        <v>375000</v>
      </c>
      <c r="AC170" s="22"/>
      <c r="AD170" s="4">
        <v>60.424443667545738</v>
      </c>
      <c r="AE170" s="14">
        <f t="shared" si="20"/>
        <v>0.21484246637349597</v>
      </c>
      <c r="AF170" s="13">
        <f t="shared" si="21"/>
        <v>65.625</v>
      </c>
      <c r="AG170" s="4">
        <v>175</v>
      </c>
      <c r="AH170" s="4">
        <v>400</v>
      </c>
      <c r="AI170" s="4">
        <v>937.5</v>
      </c>
      <c r="AJ170" s="4">
        <v>750</v>
      </c>
      <c r="AK170" s="13">
        <f t="shared" si="22"/>
        <v>281.25</v>
      </c>
      <c r="AL170" s="13">
        <f t="shared" si="23"/>
        <v>166.44374999999999</v>
      </c>
      <c r="AM170" s="20">
        <v>300000</v>
      </c>
      <c r="AN170" s="20">
        <f t="shared" si="24"/>
        <v>70000</v>
      </c>
      <c r="AO170" s="23">
        <f t="shared" si="25"/>
        <v>0.73970000000000002</v>
      </c>
      <c r="AP170" s="24">
        <f t="shared" si="26"/>
        <v>1.6504684110205614</v>
      </c>
    </row>
    <row r="171" spans="1:42" x14ac:dyDescent="0.3">
      <c r="A171" t="s">
        <v>653</v>
      </c>
      <c r="B171" s="6" t="s">
        <v>411</v>
      </c>
      <c r="C171" s="15" t="s">
        <v>501</v>
      </c>
      <c r="D171" s="5" t="s">
        <v>550</v>
      </c>
      <c r="E171" s="19">
        <v>1</v>
      </c>
      <c r="F171" s="17"/>
      <c r="G171" s="17"/>
      <c r="H171" s="17"/>
      <c r="I171" s="17"/>
      <c r="J171" s="16">
        <v>306</v>
      </c>
      <c r="K171" s="5" t="s">
        <v>168</v>
      </c>
      <c r="L171" s="6" t="s">
        <v>203</v>
      </c>
      <c r="M171" s="104"/>
      <c r="N171" s="6" t="s">
        <v>205</v>
      </c>
      <c r="O171" s="5" t="s">
        <v>715</v>
      </c>
      <c r="P171" s="6" t="s">
        <v>27</v>
      </c>
      <c r="Q171" s="7">
        <v>2029</v>
      </c>
      <c r="R171" s="8">
        <v>0.59179999999999999</v>
      </c>
      <c r="S171" s="8">
        <v>0.26029999999999998</v>
      </c>
      <c r="T171" s="9">
        <f t="shared" si="18"/>
        <v>0.85209999999999997</v>
      </c>
      <c r="U171" s="8">
        <v>7.0000000000000007E-2</v>
      </c>
      <c r="V171" s="8">
        <v>9.5000000000000001E-2</v>
      </c>
      <c r="W171" s="8">
        <v>6.8000000000000005E-2</v>
      </c>
      <c r="X171" s="10">
        <v>0.19965009999999997</v>
      </c>
      <c r="Y171" s="8">
        <v>0.14790000000000003</v>
      </c>
      <c r="Z171" s="11">
        <v>47299</v>
      </c>
      <c r="AA171" s="12"/>
      <c r="AB171" s="22">
        <f t="shared" si="19"/>
        <v>375000</v>
      </c>
      <c r="AC171" s="22"/>
      <c r="AD171" s="4">
        <v>64.728174667766666</v>
      </c>
      <c r="AE171" s="14">
        <f t="shared" si="20"/>
        <v>0.23014462104094816</v>
      </c>
      <c r="AF171" s="13">
        <f t="shared" si="21"/>
        <v>65.625</v>
      </c>
      <c r="AG171" s="4">
        <v>175</v>
      </c>
      <c r="AH171" s="4">
        <v>400</v>
      </c>
      <c r="AI171" s="4">
        <v>937.5</v>
      </c>
      <c r="AJ171" s="4">
        <v>750</v>
      </c>
      <c r="AK171" s="13">
        <f t="shared" si="22"/>
        <v>281.25</v>
      </c>
      <c r="AL171" s="13">
        <f t="shared" si="23"/>
        <v>166.44374999999999</v>
      </c>
      <c r="AM171" s="20">
        <v>300000</v>
      </c>
      <c r="AN171" s="20">
        <f t="shared" si="24"/>
        <v>70000</v>
      </c>
      <c r="AO171" s="23">
        <f t="shared" si="25"/>
        <v>0.73970000000000002</v>
      </c>
      <c r="AP171" s="24">
        <f t="shared" si="26"/>
        <v>1.5959766651655141</v>
      </c>
    </row>
    <row r="172" spans="1:42" x14ac:dyDescent="0.3">
      <c r="A172" t="s">
        <v>653</v>
      </c>
      <c r="B172" s="6" t="s">
        <v>412</v>
      </c>
      <c r="C172" s="15" t="s">
        <v>501</v>
      </c>
      <c r="D172" s="5" t="s">
        <v>550</v>
      </c>
      <c r="E172" s="19">
        <v>1</v>
      </c>
      <c r="F172" s="17"/>
      <c r="G172" s="17"/>
      <c r="H172" s="17"/>
      <c r="I172" s="17"/>
      <c r="J172" s="16">
        <v>307</v>
      </c>
      <c r="K172" s="5" t="s">
        <v>168</v>
      </c>
      <c r="L172" s="6" t="s">
        <v>203</v>
      </c>
      <c r="M172" s="104"/>
      <c r="N172" s="6" t="s">
        <v>206</v>
      </c>
      <c r="O172" s="5" t="s">
        <v>715</v>
      </c>
      <c r="P172" s="6" t="s">
        <v>27</v>
      </c>
      <c r="Q172" s="7">
        <v>2031</v>
      </c>
      <c r="R172" s="8">
        <v>0.59179999999999999</v>
      </c>
      <c r="S172" s="8">
        <v>0.26029999999999998</v>
      </c>
      <c r="T172" s="9">
        <f t="shared" si="18"/>
        <v>0.85209999999999997</v>
      </c>
      <c r="U172" s="8">
        <v>7.0000000000000007E-2</v>
      </c>
      <c r="V172" s="8">
        <v>9.5000000000000001E-2</v>
      </c>
      <c r="W172" s="8">
        <v>6.8000000000000005E-2</v>
      </c>
      <c r="X172" s="10">
        <v>0.19965009999999997</v>
      </c>
      <c r="Y172" s="8">
        <v>0.14790000000000003</v>
      </c>
      <c r="Z172" s="11">
        <v>48029</v>
      </c>
      <c r="AA172" s="12"/>
      <c r="AB172" s="22">
        <f t="shared" si="19"/>
        <v>375000</v>
      </c>
      <c r="AC172" s="22"/>
      <c r="AD172" s="4">
        <v>69.338438908478338</v>
      </c>
      <c r="AE172" s="14">
        <f t="shared" si="20"/>
        <v>0.24653667167458965</v>
      </c>
      <c r="AF172" s="13">
        <f t="shared" si="21"/>
        <v>65.625</v>
      </c>
      <c r="AG172" s="4">
        <v>175</v>
      </c>
      <c r="AH172" s="4">
        <v>400</v>
      </c>
      <c r="AI172" s="4">
        <v>937.5</v>
      </c>
      <c r="AJ172" s="4">
        <v>750</v>
      </c>
      <c r="AK172" s="13">
        <f t="shared" si="22"/>
        <v>281.25</v>
      </c>
      <c r="AL172" s="13">
        <f t="shared" si="23"/>
        <v>166.44374999999999</v>
      </c>
      <c r="AM172" s="20">
        <v>300000</v>
      </c>
      <c r="AN172" s="20">
        <f t="shared" si="24"/>
        <v>70000</v>
      </c>
      <c r="AO172" s="23">
        <f t="shared" si="25"/>
        <v>0.73970000000000002</v>
      </c>
      <c r="AP172" s="24">
        <f t="shared" si="26"/>
        <v>1.541459129098488</v>
      </c>
    </row>
    <row r="173" spans="1:42" x14ac:dyDescent="0.3">
      <c r="A173" t="s">
        <v>653</v>
      </c>
      <c r="B173" s="6" t="s">
        <v>413</v>
      </c>
      <c r="C173" s="15" t="s">
        <v>501</v>
      </c>
      <c r="D173" s="5" t="s">
        <v>550</v>
      </c>
      <c r="E173" s="19">
        <v>1</v>
      </c>
      <c r="F173" s="17"/>
      <c r="G173" s="17"/>
      <c r="H173" s="17"/>
      <c r="I173" s="17"/>
      <c r="J173" s="16">
        <v>308</v>
      </c>
      <c r="K173" s="5" t="s">
        <v>168</v>
      </c>
      <c r="L173" s="6" t="s">
        <v>203</v>
      </c>
      <c r="M173" s="104"/>
      <c r="N173" s="6" t="s">
        <v>207</v>
      </c>
      <c r="O173" s="5" t="s">
        <v>715</v>
      </c>
      <c r="P173" s="6" t="s">
        <v>27</v>
      </c>
      <c r="Q173" s="7">
        <v>2033</v>
      </c>
      <c r="R173" s="8">
        <v>0.59179999999999999</v>
      </c>
      <c r="S173" s="8">
        <v>0.26029999999999998</v>
      </c>
      <c r="T173" s="9">
        <f t="shared" si="18"/>
        <v>0.85209999999999997</v>
      </c>
      <c r="U173" s="8">
        <v>7.0000000000000007E-2</v>
      </c>
      <c r="V173" s="8">
        <v>9.5000000000000001E-2</v>
      </c>
      <c r="W173" s="8">
        <v>6.8000000000000005E-2</v>
      </c>
      <c r="X173" s="10">
        <v>0.19965009999999997</v>
      </c>
      <c r="Y173" s="8">
        <v>0.14790000000000003</v>
      </c>
      <c r="Z173" s="11">
        <v>48760</v>
      </c>
      <c r="AA173" s="12"/>
      <c r="AB173" s="22">
        <f t="shared" si="19"/>
        <v>375000</v>
      </c>
      <c r="AC173" s="22"/>
      <c r="AD173" s="4">
        <v>74.277069219734713</v>
      </c>
      <c r="AE173" s="14">
        <f t="shared" si="20"/>
        <v>0.2640962461146123</v>
      </c>
      <c r="AF173" s="13">
        <f t="shared" si="21"/>
        <v>65.625</v>
      </c>
      <c r="AG173" s="4">
        <v>175</v>
      </c>
      <c r="AH173" s="4">
        <v>400</v>
      </c>
      <c r="AI173" s="4">
        <v>937.5</v>
      </c>
      <c r="AJ173" s="4">
        <v>750</v>
      </c>
      <c r="AK173" s="13">
        <f t="shared" si="22"/>
        <v>281.25</v>
      </c>
      <c r="AL173" s="13">
        <f t="shared" si="23"/>
        <v>166.44374999999999</v>
      </c>
      <c r="AM173" s="20">
        <v>300000</v>
      </c>
      <c r="AN173" s="20">
        <f t="shared" si="24"/>
        <v>70000</v>
      </c>
      <c r="AO173" s="23">
        <f t="shared" si="25"/>
        <v>0.73970000000000002</v>
      </c>
      <c r="AP173" s="24">
        <f t="shared" si="26"/>
        <v>1.4870446603133847</v>
      </c>
    </row>
    <row r="174" spans="1:42" x14ac:dyDescent="0.3">
      <c r="A174" t="s">
        <v>654</v>
      </c>
      <c r="B174" s="6" t="s">
        <v>414</v>
      </c>
      <c r="C174" s="15" t="s">
        <v>499</v>
      </c>
      <c r="D174" s="5" t="s">
        <v>550</v>
      </c>
      <c r="E174" s="19">
        <v>1</v>
      </c>
      <c r="F174" s="17"/>
      <c r="G174" s="17"/>
      <c r="H174" s="17"/>
      <c r="I174" s="17"/>
      <c r="J174" s="16">
        <v>309</v>
      </c>
      <c r="K174" s="5" t="s">
        <v>168</v>
      </c>
      <c r="L174" s="6" t="s">
        <v>208</v>
      </c>
      <c r="M174" s="104"/>
      <c r="N174" s="6" t="s">
        <v>209</v>
      </c>
      <c r="O174" s="5" t="s">
        <v>719</v>
      </c>
      <c r="P174" s="6" t="s">
        <v>27</v>
      </c>
      <c r="Q174" s="7">
        <v>2027</v>
      </c>
      <c r="R174" s="8">
        <v>0.56000000000000005</v>
      </c>
      <c r="S174" s="8">
        <v>0.29999999999999993</v>
      </c>
      <c r="T174" s="9">
        <f t="shared" si="18"/>
        <v>0.86</v>
      </c>
      <c r="U174" s="8">
        <v>7.0000000000000007E-2</v>
      </c>
      <c r="V174" s="8">
        <v>9.5000000000000001E-2</v>
      </c>
      <c r="W174" s="8">
        <v>6.8000000000000005E-2</v>
      </c>
      <c r="X174" s="10">
        <v>0.23009999999999994</v>
      </c>
      <c r="Y174" s="8">
        <v>0.14000000000000001</v>
      </c>
      <c r="Z174" s="11">
        <v>46477</v>
      </c>
      <c r="AA174" s="12"/>
      <c r="AB174" s="22">
        <f t="shared" si="19"/>
        <v>148565</v>
      </c>
      <c r="AC174" s="22"/>
      <c r="AD174" s="4">
        <v>22.071658789935139</v>
      </c>
      <c r="AE174" s="14">
        <f t="shared" si="20"/>
        <v>0.24760945029599996</v>
      </c>
      <c r="AF174" s="13">
        <f t="shared" si="21"/>
        <v>25.998875000000002</v>
      </c>
      <c r="AG174" s="4">
        <v>175</v>
      </c>
      <c r="AH174" s="4">
        <v>215</v>
      </c>
      <c r="AI174" s="4">
        <v>691</v>
      </c>
      <c r="AJ174" s="4">
        <v>600</v>
      </c>
      <c r="AK174" s="13">
        <f t="shared" si="22"/>
        <v>89.138999999999996</v>
      </c>
      <c r="AL174" s="13">
        <f t="shared" si="23"/>
        <v>49.917840000000005</v>
      </c>
      <c r="AM174" s="20">
        <v>129000</v>
      </c>
      <c r="AN174" s="20">
        <f t="shared" si="24"/>
        <v>37625</v>
      </c>
      <c r="AO174" s="23">
        <f t="shared" si="25"/>
        <v>0.70000000000000007</v>
      </c>
      <c r="AP174" s="24">
        <f t="shared" si="26"/>
        <v>1.29803634535601</v>
      </c>
    </row>
    <row r="175" spans="1:42" x14ac:dyDescent="0.3">
      <c r="A175" t="s">
        <v>655</v>
      </c>
      <c r="B175" s="6" t="s">
        <v>415</v>
      </c>
      <c r="C175" s="15" t="s">
        <v>500</v>
      </c>
      <c r="D175" s="5" t="s">
        <v>550</v>
      </c>
      <c r="E175" s="19">
        <v>1</v>
      </c>
      <c r="F175" s="17"/>
      <c r="G175" s="17"/>
      <c r="H175" s="17"/>
      <c r="I175" s="17"/>
      <c r="J175" s="16">
        <v>310</v>
      </c>
      <c r="K175" s="5" t="s">
        <v>168</v>
      </c>
      <c r="L175" s="6" t="s">
        <v>208</v>
      </c>
      <c r="M175" s="104"/>
      <c r="N175" s="6" t="s">
        <v>210</v>
      </c>
      <c r="O175" s="5" t="s">
        <v>719</v>
      </c>
      <c r="P175" s="6" t="s">
        <v>27</v>
      </c>
      <c r="Q175" s="7">
        <v>2026</v>
      </c>
      <c r="R175" s="8">
        <v>0.54400000000000004</v>
      </c>
      <c r="S175" s="8">
        <v>0.31999999999999995</v>
      </c>
      <c r="T175" s="9">
        <f t="shared" si="18"/>
        <v>0.86399999999999999</v>
      </c>
      <c r="U175" s="8">
        <v>7.0000000000000007E-2</v>
      </c>
      <c r="V175" s="8">
        <v>9.5000000000000001E-2</v>
      </c>
      <c r="W175" s="8">
        <v>6.8000000000000005E-2</v>
      </c>
      <c r="X175" s="10">
        <v>0.24543999999999996</v>
      </c>
      <c r="Y175" s="8">
        <v>0.13600000000000001</v>
      </c>
      <c r="Z175" s="11">
        <v>46203</v>
      </c>
      <c r="AA175" s="12"/>
      <c r="AB175" s="22">
        <f t="shared" si="19"/>
        <v>84153.46</v>
      </c>
      <c r="AC175" s="22"/>
      <c r="AD175" s="4">
        <v>13.930305434995455</v>
      </c>
      <c r="AE175" s="14">
        <f t="shared" si="20"/>
        <v>0.254668544</v>
      </c>
      <c r="AF175" s="13">
        <f t="shared" si="21"/>
        <v>14.726855500000001</v>
      </c>
      <c r="AG175" s="4">
        <v>175</v>
      </c>
      <c r="AH175" s="4">
        <v>235.06553072625701</v>
      </c>
      <c r="AI175" s="4">
        <v>358</v>
      </c>
      <c r="AJ175" s="4">
        <v>650</v>
      </c>
      <c r="AK175" s="13">
        <f t="shared" si="22"/>
        <v>54.699749000000004</v>
      </c>
      <c r="AL175" s="13">
        <f t="shared" si="23"/>
        <v>29.756663456000005</v>
      </c>
      <c r="AM175" s="20">
        <v>152792.59497206705</v>
      </c>
      <c r="AN175" s="20">
        <f t="shared" si="24"/>
        <v>41136.467877094976</v>
      </c>
      <c r="AO175" s="23">
        <f t="shared" si="25"/>
        <v>0.68</v>
      </c>
      <c r="AP175" s="24">
        <f t="shared" si="26"/>
        <v>1.2979593269679877</v>
      </c>
    </row>
    <row r="176" spans="1:42" x14ac:dyDescent="0.3">
      <c r="A176" t="s">
        <v>656</v>
      </c>
      <c r="B176" s="6" t="s">
        <v>416</v>
      </c>
      <c r="C176" s="15" t="s">
        <v>500</v>
      </c>
      <c r="D176" s="5" t="s">
        <v>550</v>
      </c>
      <c r="E176" s="19">
        <v>1</v>
      </c>
      <c r="F176" s="17"/>
      <c r="G176" s="17"/>
      <c r="H176" s="17"/>
      <c r="I176" s="17"/>
      <c r="J176" s="16">
        <v>311</v>
      </c>
      <c r="K176" s="5" t="s">
        <v>168</v>
      </c>
      <c r="L176" s="6" t="s">
        <v>208</v>
      </c>
      <c r="M176" s="104"/>
      <c r="N176" s="6" t="s">
        <v>211</v>
      </c>
      <c r="O176" s="5" t="s">
        <v>719</v>
      </c>
      <c r="P176" s="6" t="s">
        <v>27</v>
      </c>
      <c r="Q176" s="7">
        <v>2028</v>
      </c>
      <c r="R176" s="8">
        <v>0.624</v>
      </c>
      <c r="S176" s="8">
        <v>0.21999999999999997</v>
      </c>
      <c r="T176" s="9">
        <f t="shared" si="18"/>
        <v>0.84399999999999997</v>
      </c>
      <c r="U176" s="8">
        <v>7.0000000000000007E-2</v>
      </c>
      <c r="V176" s="8">
        <v>9.5000000000000001E-2</v>
      </c>
      <c r="W176" s="8">
        <v>6.8000000000000005E-2</v>
      </c>
      <c r="X176" s="10">
        <v>0.16873999999999997</v>
      </c>
      <c r="Y176" s="8">
        <v>0.15600000000000003</v>
      </c>
      <c r="Z176" s="11">
        <v>46843</v>
      </c>
      <c r="AA176" s="12"/>
      <c r="AB176" s="22">
        <f t="shared" si="19"/>
        <v>114390</v>
      </c>
      <c r="AC176" s="22"/>
      <c r="AD176" s="4">
        <v>12.898770101816286</v>
      </c>
      <c r="AE176" s="14">
        <f t="shared" si="20"/>
        <v>0.18793557277466397</v>
      </c>
      <c r="AF176" s="13">
        <f t="shared" si="21"/>
        <v>20.018249999999998</v>
      </c>
      <c r="AG176" s="4">
        <v>175</v>
      </c>
      <c r="AH176" s="4">
        <v>220.40462427745663</v>
      </c>
      <c r="AI176" s="4">
        <v>519</v>
      </c>
      <c r="AJ176" s="4">
        <v>600</v>
      </c>
      <c r="AK176" s="13">
        <f t="shared" si="22"/>
        <v>68.634</v>
      </c>
      <c r="AL176" s="13">
        <f t="shared" si="23"/>
        <v>42.827615999999999</v>
      </c>
      <c r="AM176" s="20">
        <v>132242.77456647399</v>
      </c>
      <c r="AN176" s="20">
        <f t="shared" si="24"/>
        <v>38570.809248554913</v>
      </c>
      <c r="AO176" s="23">
        <f t="shared" si="25"/>
        <v>0.78</v>
      </c>
      <c r="AP176" s="24">
        <f t="shared" si="26"/>
        <v>1.6263477020219728</v>
      </c>
    </row>
    <row r="177" spans="1:42" x14ac:dyDescent="0.3">
      <c r="A177" t="s">
        <v>657</v>
      </c>
      <c r="B177" s="6" t="s">
        <v>417</v>
      </c>
      <c r="C177" s="15" t="s">
        <v>498</v>
      </c>
      <c r="D177" s="5" t="s">
        <v>550</v>
      </c>
      <c r="E177" s="19">
        <v>1</v>
      </c>
      <c r="F177" s="17"/>
      <c r="G177" s="17"/>
      <c r="H177" s="17"/>
      <c r="I177" s="17"/>
      <c r="J177" s="16">
        <v>312</v>
      </c>
      <c r="K177" s="5" t="s">
        <v>168</v>
      </c>
      <c r="L177" s="6" t="s">
        <v>212</v>
      </c>
      <c r="M177" s="104"/>
      <c r="N177" s="6" t="s">
        <v>213</v>
      </c>
      <c r="O177" s="5" t="s">
        <v>714</v>
      </c>
      <c r="P177" s="6" t="s">
        <v>27</v>
      </c>
      <c r="Q177" s="7">
        <v>2027</v>
      </c>
      <c r="R177" s="8">
        <v>0.56000000000000005</v>
      </c>
      <c r="S177" s="8">
        <v>0.29999999999999993</v>
      </c>
      <c r="T177" s="9">
        <f t="shared" si="18"/>
        <v>0.86</v>
      </c>
      <c r="U177" s="8">
        <v>7.0000000000000007E-2</v>
      </c>
      <c r="V177" s="8">
        <v>9.5000000000000001E-2</v>
      </c>
      <c r="W177" s="8">
        <v>6.8000000000000005E-2</v>
      </c>
      <c r="X177" s="10">
        <v>0.23009999999999994</v>
      </c>
      <c r="Y177" s="8">
        <v>0.14000000000000001</v>
      </c>
      <c r="Z177" s="11">
        <v>46477</v>
      </c>
      <c r="AA177" s="12"/>
      <c r="AB177" s="22">
        <f t="shared" si="19"/>
        <v>344326.77299999999</v>
      </c>
      <c r="AC177" s="22"/>
      <c r="AD177" s="4">
        <v>45.017383024971096</v>
      </c>
      <c r="AE177" s="14">
        <f t="shared" si="20"/>
        <v>0.23770962276618923</v>
      </c>
      <c r="AF177" s="13">
        <f t="shared" si="21"/>
        <v>60.257185274999998</v>
      </c>
      <c r="AG177" s="4">
        <v>175</v>
      </c>
      <c r="AH177" s="26">
        <v>234.23589999999999</v>
      </c>
      <c r="AI177" s="26">
        <v>1470</v>
      </c>
      <c r="AJ177" s="4">
        <v>550</v>
      </c>
      <c r="AK177" s="13">
        <f t="shared" si="22"/>
        <v>189.37972514999998</v>
      </c>
      <c r="AL177" s="13">
        <f t="shared" si="23"/>
        <v>106.052646084</v>
      </c>
      <c r="AM177" s="20">
        <v>202910.7327008929</v>
      </c>
      <c r="AN177" s="20">
        <f t="shared" si="24"/>
        <v>40991.282500000001</v>
      </c>
      <c r="AO177" s="23">
        <f t="shared" si="25"/>
        <v>0.70000000000000007</v>
      </c>
      <c r="AP177" s="24">
        <f t="shared" si="26"/>
        <v>1.2592386722239013</v>
      </c>
    </row>
    <row r="178" spans="1:42" x14ac:dyDescent="0.3">
      <c r="A178" t="s">
        <v>658</v>
      </c>
      <c r="B178" s="6" t="s">
        <v>418</v>
      </c>
      <c r="C178" s="15" t="s">
        <v>498</v>
      </c>
      <c r="D178" s="5" t="s">
        <v>550</v>
      </c>
      <c r="E178" s="19">
        <v>1</v>
      </c>
      <c r="F178" s="17"/>
      <c r="G178" s="17"/>
      <c r="H178" s="17"/>
      <c r="I178" s="17"/>
      <c r="J178" s="16">
        <v>313</v>
      </c>
      <c r="K178" s="5" t="s">
        <v>168</v>
      </c>
      <c r="L178" s="6" t="s">
        <v>212</v>
      </c>
      <c r="M178" s="104"/>
      <c r="N178" s="6" t="s">
        <v>214</v>
      </c>
      <c r="O178" s="5" t="s">
        <v>714</v>
      </c>
      <c r="P178" s="6" t="s">
        <v>27</v>
      </c>
      <c r="Q178" s="7">
        <v>2026</v>
      </c>
      <c r="R178" s="8">
        <v>0.55200000000000005</v>
      </c>
      <c r="S178" s="8">
        <v>0.30999999999999994</v>
      </c>
      <c r="T178" s="9">
        <f t="shared" si="18"/>
        <v>0.86199999999999999</v>
      </c>
      <c r="U178" s="8">
        <v>7.0000000000000007E-2</v>
      </c>
      <c r="V178" s="8">
        <v>9.5000000000000001E-2</v>
      </c>
      <c r="W178" s="8">
        <v>6.8000000000000005E-2</v>
      </c>
      <c r="X178" s="10">
        <v>0.23776999999999995</v>
      </c>
      <c r="Y178" s="8">
        <v>0.13800000000000001</v>
      </c>
      <c r="Z178" s="11">
        <v>46203</v>
      </c>
      <c r="AA178" s="12"/>
      <c r="AB178" s="28">
        <f>AH178*AI178</f>
        <v>63327</v>
      </c>
      <c r="AC178" s="28"/>
      <c r="AD178" s="4">
        <v>17.994051646271998</v>
      </c>
      <c r="AE178" s="14">
        <f t="shared" si="20"/>
        <v>0.31571668827009014</v>
      </c>
      <c r="AF178" s="13">
        <f t="shared" si="21"/>
        <v>8.8657800000000009</v>
      </c>
      <c r="AG178" s="4">
        <v>140</v>
      </c>
      <c r="AH178" s="26">
        <v>1111</v>
      </c>
      <c r="AI178" s="26">
        <v>57</v>
      </c>
      <c r="AJ178" s="4">
        <v>900</v>
      </c>
      <c r="AK178" s="13">
        <f t="shared" si="22"/>
        <v>56.994300000000003</v>
      </c>
      <c r="AL178" s="13">
        <f t="shared" si="23"/>
        <v>31.460853600000004</v>
      </c>
      <c r="AM178" s="27">
        <v>1000094.6842105264</v>
      </c>
      <c r="AN178" s="20">
        <f t="shared" si="24"/>
        <v>155540</v>
      </c>
      <c r="AO178" s="23">
        <f t="shared" si="25"/>
        <v>0.69000000000000006</v>
      </c>
      <c r="AP178" s="24">
        <f t="shared" si="26"/>
        <v>1.4641218723147973</v>
      </c>
    </row>
    <row r="179" spans="1:42" x14ac:dyDescent="0.3">
      <c r="A179" t="s">
        <v>659</v>
      </c>
      <c r="B179" s="6" t="s">
        <v>419</v>
      </c>
      <c r="C179" s="15" t="s">
        <v>497</v>
      </c>
      <c r="D179" s="5" t="s">
        <v>550</v>
      </c>
      <c r="E179" s="19">
        <v>1</v>
      </c>
      <c r="F179" s="17"/>
      <c r="G179" s="17"/>
      <c r="H179" s="17"/>
      <c r="I179" s="17"/>
      <c r="J179" s="16">
        <v>314</v>
      </c>
      <c r="K179" s="5" t="s">
        <v>168</v>
      </c>
      <c r="L179" s="6" t="s">
        <v>215</v>
      </c>
      <c r="M179" s="104"/>
      <c r="N179" s="6" t="s">
        <v>216</v>
      </c>
      <c r="O179" s="5" t="s">
        <v>715</v>
      </c>
      <c r="P179" s="6" t="s">
        <v>27</v>
      </c>
      <c r="Q179" s="7">
        <v>2028</v>
      </c>
      <c r="R179" s="8">
        <v>0.64800000000000002</v>
      </c>
      <c r="S179" s="8">
        <v>0.18999999999999995</v>
      </c>
      <c r="T179" s="9">
        <f t="shared" si="18"/>
        <v>0.83799999999999997</v>
      </c>
      <c r="U179" s="8">
        <v>7.0000000000000007E-2</v>
      </c>
      <c r="V179" s="8">
        <v>9.5000000000000001E-2</v>
      </c>
      <c r="W179" s="8">
        <v>6.8000000000000005E-2</v>
      </c>
      <c r="X179" s="10">
        <v>0.14572999999999997</v>
      </c>
      <c r="Y179" s="8">
        <v>0.16200000000000003</v>
      </c>
      <c r="Z179" s="11">
        <v>46934</v>
      </c>
      <c r="AA179" s="12"/>
      <c r="AB179" s="22">
        <f t="shared" si="19"/>
        <v>166930</v>
      </c>
      <c r="AC179" s="22"/>
      <c r="AD179" s="4">
        <v>14.90174045255546</v>
      </c>
      <c r="AE179" s="14">
        <f t="shared" si="20"/>
        <v>0.16230799466902796</v>
      </c>
      <c r="AF179" s="13">
        <f t="shared" si="21"/>
        <v>29.21275</v>
      </c>
      <c r="AG179" s="4">
        <v>175</v>
      </c>
      <c r="AH179" s="4">
        <v>160.04793863854266</v>
      </c>
      <c r="AI179" s="4">
        <v>1043</v>
      </c>
      <c r="AJ179" s="4">
        <v>550</v>
      </c>
      <c r="AK179" s="13">
        <f t="shared" si="22"/>
        <v>91.811499999999995</v>
      </c>
      <c r="AL179" s="13">
        <f t="shared" si="23"/>
        <v>59.493851999999997</v>
      </c>
      <c r="AM179" s="20">
        <v>88026.366251198458</v>
      </c>
      <c r="AN179" s="20">
        <f t="shared" si="24"/>
        <v>28008.389261744967</v>
      </c>
      <c r="AO179" s="23">
        <f t="shared" si="25"/>
        <v>0.81</v>
      </c>
      <c r="AP179" s="24">
        <f t="shared" si="26"/>
        <v>1.6857797571068185</v>
      </c>
    </row>
    <row r="180" spans="1:42" x14ac:dyDescent="0.3">
      <c r="A180" t="s">
        <v>659</v>
      </c>
      <c r="B180" s="6" t="s">
        <v>420</v>
      </c>
      <c r="C180" s="15" t="s">
        <v>497</v>
      </c>
      <c r="D180" s="5" t="s">
        <v>550</v>
      </c>
      <c r="E180" s="19">
        <v>1</v>
      </c>
      <c r="F180" s="17"/>
      <c r="G180" s="17"/>
      <c r="H180" s="17"/>
      <c r="I180" s="17"/>
      <c r="J180" s="16">
        <v>315</v>
      </c>
      <c r="K180" s="5" t="s">
        <v>168</v>
      </c>
      <c r="L180" s="6" t="s">
        <v>215</v>
      </c>
      <c r="M180" s="104"/>
      <c r="N180" s="6" t="s">
        <v>217</v>
      </c>
      <c r="O180" s="5" t="s">
        <v>715</v>
      </c>
      <c r="P180" s="6" t="s">
        <v>27</v>
      </c>
      <c r="Q180" s="7">
        <v>2030</v>
      </c>
      <c r="R180" s="8">
        <v>0.64800000000000002</v>
      </c>
      <c r="S180" s="8">
        <v>0.18999999999999995</v>
      </c>
      <c r="T180" s="9">
        <f t="shared" si="18"/>
        <v>0.83799999999999997</v>
      </c>
      <c r="U180" s="8">
        <v>7.0000000000000007E-2</v>
      </c>
      <c r="V180" s="8">
        <v>9.5000000000000001E-2</v>
      </c>
      <c r="W180" s="8">
        <v>6.8000000000000005E-2</v>
      </c>
      <c r="X180" s="10">
        <v>0.14572999999999997</v>
      </c>
      <c r="Y180" s="8">
        <v>0.16200000000000003</v>
      </c>
      <c r="Z180" s="11">
        <v>47664</v>
      </c>
      <c r="AA180" s="12"/>
      <c r="AB180" s="22">
        <f t="shared" si="19"/>
        <v>166770</v>
      </c>
      <c r="AC180" s="22"/>
      <c r="AD180" s="4">
        <v>15.947816498708859</v>
      </c>
      <c r="AE180" s="14">
        <f t="shared" si="20"/>
        <v>0.17386838158932943</v>
      </c>
      <c r="AF180" s="13">
        <f t="shared" si="21"/>
        <v>29.184750000000005</v>
      </c>
      <c r="AG180" s="4">
        <v>175</v>
      </c>
      <c r="AH180" s="4">
        <v>160.04798464491364</v>
      </c>
      <c r="AI180" s="4">
        <v>1042</v>
      </c>
      <c r="AJ180" s="4">
        <v>550</v>
      </c>
      <c r="AK180" s="13">
        <f t="shared" si="22"/>
        <v>91.723500000000001</v>
      </c>
      <c r="AL180" s="13">
        <f t="shared" si="23"/>
        <v>59.436828000000006</v>
      </c>
      <c r="AM180" s="20">
        <v>88026.391554702495</v>
      </c>
      <c r="AN180" s="20">
        <f t="shared" si="24"/>
        <v>28008.397312859888</v>
      </c>
      <c r="AO180" s="23">
        <f t="shared" si="25"/>
        <v>0.81</v>
      </c>
      <c r="AP180" s="24">
        <f t="shared" si="26"/>
        <v>1.6461735009491525</v>
      </c>
    </row>
    <row r="181" spans="1:42" x14ac:dyDescent="0.3">
      <c r="A181" t="s">
        <v>660</v>
      </c>
      <c r="B181" s="6" t="s">
        <v>421</v>
      </c>
      <c r="C181" s="15" t="s">
        <v>497</v>
      </c>
      <c r="D181" s="5" t="s">
        <v>550</v>
      </c>
      <c r="E181" s="19">
        <v>1</v>
      </c>
      <c r="F181" s="17"/>
      <c r="G181" s="17"/>
      <c r="H181" s="17"/>
      <c r="I181" s="17"/>
      <c r="J181" s="16">
        <v>316</v>
      </c>
      <c r="K181" s="5" t="s">
        <v>168</v>
      </c>
      <c r="L181" s="6" t="s">
        <v>215</v>
      </c>
      <c r="M181" s="104"/>
      <c r="N181" s="6" t="s">
        <v>218</v>
      </c>
      <c r="O181" s="5" t="s">
        <v>715</v>
      </c>
      <c r="P181" s="6" t="s">
        <v>27</v>
      </c>
      <c r="Q181" s="7">
        <v>2032</v>
      </c>
      <c r="R181" s="8">
        <v>0.64800000000000002</v>
      </c>
      <c r="S181" s="8">
        <v>0.18999999999999995</v>
      </c>
      <c r="T181" s="9">
        <f t="shared" si="18"/>
        <v>0.83799999999999997</v>
      </c>
      <c r="U181" s="8">
        <v>7.0000000000000007E-2</v>
      </c>
      <c r="V181" s="8">
        <v>0.08</v>
      </c>
      <c r="W181" s="8">
        <v>6.8000000000000005E-2</v>
      </c>
      <c r="X181" s="10">
        <v>0.14857999999999996</v>
      </c>
      <c r="Y181" s="8">
        <v>0.16200000000000003</v>
      </c>
      <c r="Z181" s="11">
        <v>48395</v>
      </c>
      <c r="AA181" s="12"/>
      <c r="AB181" s="22">
        <f t="shared" si="19"/>
        <v>269500</v>
      </c>
      <c r="AC181" s="22"/>
      <c r="AD181" s="4">
        <v>28.199353642554168</v>
      </c>
      <c r="AE181" s="14">
        <f t="shared" si="20"/>
        <v>0.19024694648375221</v>
      </c>
      <c r="AF181" s="13">
        <f t="shared" si="21"/>
        <v>47.162500000000001</v>
      </c>
      <c r="AG181" s="4">
        <v>175</v>
      </c>
      <c r="AH181" s="26">
        <v>245</v>
      </c>
      <c r="AI181" s="26">
        <v>1100</v>
      </c>
      <c r="AJ181" s="4">
        <v>550</v>
      </c>
      <c r="AK181" s="13">
        <f t="shared" si="22"/>
        <v>148.22499999999999</v>
      </c>
      <c r="AL181" s="13">
        <f t="shared" si="23"/>
        <v>96.049800000000005</v>
      </c>
      <c r="AM181" s="20">
        <v>123750</v>
      </c>
      <c r="AN181" s="20">
        <f t="shared" si="24"/>
        <v>42875</v>
      </c>
      <c r="AO181" s="23">
        <f t="shared" si="25"/>
        <v>0.81</v>
      </c>
      <c r="AP181" s="24">
        <f t="shared" si="26"/>
        <v>1.5931435361112869</v>
      </c>
    </row>
    <row r="182" spans="1:42" x14ac:dyDescent="0.3">
      <c r="A182" t="s">
        <v>661</v>
      </c>
      <c r="B182" s="6" t="s">
        <v>422</v>
      </c>
      <c r="C182" s="15" t="s">
        <v>496</v>
      </c>
      <c r="D182" s="5" t="s">
        <v>550</v>
      </c>
      <c r="E182" s="19">
        <v>1</v>
      </c>
      <c r="F182" s="17"/>
      <c r="G182" s="17"/>
      <c r="H182" s="17"/>
      <c r="I182" s="17"/>
      <c r="J182" s="16">
        <v>317</v>
      </c>
      <c r="K182" s="5" t="s">
        <v>168</v>
      </c>
      <c r="L182" s="6" t="s">
        <v>219</v>
      </c>
      <c r="M182" s="104"/>
      <c r="N182" s="6" t="s">
        <v>220</v>
      </c>
      <c r="O182" s="5" t="s">
        <v>715</v>
      </c>
      <c r="P182" s="6" t="s">
        <v>27</v>
      </c>
      <c r="Q182" s="7">
        <v>2028</v>
      </c>
      <c r="R182" s="8">
        <v>0.6</v>
      </c>
      <c r="S182" s="8">
        <v>0.25</v>
      </c>
      <c r="T182" s="9">
        <f t="shared" si="18"/>
        <v>0.85</v>
      </c>
      <c r="U182" s="8">
        <v>7.0000000000000007E-2</v>
      </c>
      <c r="V182" s="8">
        <v>7.0000000000000007E-2</v>
      </c>
      <c r="W182" s="8">
        <v>6.8000000000000005E-2</v>
      </c>
      <c r="X182" s="10">
        <v>0.19800000000000001</v>
      </c>
      <c r="Y182" s="8">
        <v>0.15000000000000002</v>
      </c>
      <c r="Z182" s="11">
        <v>47026</v>
      </c>
      <c r="AA182" s="12"/>
      <c r="AB182" s="28">
        <f>AH182*AI182</f>
        <v>283242.12288786483</v>
      </c>
      <c r="AC182" s="28"/>
      <c r="AD182" s="4">
        <v>29.606064141957216</v>
      </c>
      <c r="AE182" s="14">
        <f t="shared" si="20"/>
        <v>0.19004661800300873</v>
      </c>
      <c r="AF182" s="13">
        <f t="shared" si="21"/>
        <v>49.567371505376343</v>
      </c>
      <c r="AG182" s="4">
        <v>175</v>
      </c>
      <c r="AH182" s="4">
        <v>224.97388632872503</v>
      </c>
      <c r="AI182" s="26">
        <v>1259</v>
      </c>
      <c r="AJ182" s="4">
        <v>550</v>
      </c>
      <c r="AK182" s="13">
        <f t="shared" si="22"/>
        <v>155.78316758832565</v>
      </c>
      <c r="AL182" s="13">
        <f t="shared" si="23"/>
        <v>93.469900552995384</v>
      </c>
      <c r="AM182" s="20">
        <v>123735.63748079876</v>
      </c>
      <c r="AN182" s="20">
        <f t="shared" si="24"/>
        <v>39370.430107526881</v>
      </c>
      <c r="AO182" s="23">
        <f t="shared" si="25"/>
        <v>0.75</v>
      </c>
      <c r="AP182" s="24">
        <f t="shared" si="26"/>
        <v>1.4757143571699876</v>
      </c>
    </row>
    <row r="183" spans="1:42" x14ac:dyDescent="0.3">
      <c r="A183" t="s">
        <v>661</v>
      </c>
      <c r="B183" s="6" t="s">
        <v>422</v>
      </c>
      <c r="C183" s="15" t="s">
        <v>496</v>
      </c>
      <c r="D183" s="5" t="s">
        <v>550</v>
      </c>
      <c r="E183" s="19">
        <v>1</v>
      </c>
      <c r="F183" s="17"/>
      <c r="G183" s="17"/>
      <c r="H183" s="17"/>
      <c r="I183" s="17"/>
      <c r="J183" s="16">
        <v>318</v>
      </c>
      <c r="K183" s="5" t="s">
        <v>168</v>
      </c>
      <c r="L183" s="6" t="s">
        <v>219</v>
      </c>
      <c r="M183" s="104"/>
      <c r="N183" s="6" t="s">
        <v>220</v>
      </c>
      <c r="O183" s="5" t="s">
        <v>715</v>
      </c>
      <c r="P183" s="6" t="s">
        <v>27</v>
      </c>
      <c r="Q183" s="7">
        <v>2030</v>
      </c>
      <c r="R183" s="8">
        <v>0.6</v>
      </c>
      <c r="S183" s="8">
        <v>0.25</v>
      </c>
      <c r="T183" s="9">
        <f t="shared" si="18"/>
        <v>0.85</v>
      </c>
      <c r="U183" s="8">
        <v>7.0000000000000007E-2</v>
      </c>
      <c r="V183" s="8">
        <v>7.0000000000000007E-2</v>
      </c>
      <c r="W183" s="8">
        <v>6.8000000000000005E-2</v>
      </c>
      <c r="X183" s="10">
        <v>0.19800000000000001</v>
      </c>
      <c r="Y183" s="8">
        <v>0.15000000000000002</v>
      </c>
      <c r="Z183" s="11">
        <v>47756</v>
      </c>
      <c r="AA183" s="12"/>
      <c r="AB183" s="28">
        <f>AH183*AI183</f>
        <v>283242.12288786483</v>
      </c>
      <c r="AC183" s="28"/>
      <c r="AD183" s="4">
        <v>31.714756060468112</v>
      </c>
      <c r="AE183" s="14">
        <f t="shared" si="20"/>
        <v>0.20358268837027299</v>
      </c>
      <c r="AF183" s="13">
        <f t="shared" si="21"/>
        <v>49.567371505376343</v>
      </c>
      <c r="AG183" s="4">
        <v>175</v>
      </c>
      <c r="AH183" s="4">
        <v>224.97388632872503</v>
      </c>
      <c r="AI183" s="26">
        <v>1259</v>
      </c>
      <c r="AJ183" s="4">
        <v>550</v>
      </c>
      <c r="AK183" s="13">
        <f t="shared" si="22"/>
        <v>155.78316758832565</v>
      </c>
      <c r="AL183" s="13">
        <f t="shared" si="23"/>
        <v>93.469900552995384</v>
      </c>
      <c r="AM183" s="20">
        <v>123735.63748079876</v>
      </c>
      <c r="AN183" s="20">
        <f t="shared" si="24"/>
        <v>39370.430107526881</v>
      </c>
      <c r="AO183" s="23">
        <f t="shared" si="25"/>
        <v>0.75</v>
      </c>
      <c r="AP183" s="24">
        <f t="shared" si="26"/>
        <v>1.4374300869105257</v>
      </c>
    </row>
    <row r="184" spans="1:42" x14ac:dyDescent="0.3">
      <c r="A184" t="s">
        <v>661</v>
      </c>
      <c r="B184" s="6" t="s">
        <v>422</v>
      </c>
      <c r="C184" s="15" t="s">
        <v>496</v>
      </c>
      <c r="D184" s="5" t="s">
        <v>550</v>
      </c>
      <c r="E184" s="19">
        <v>1</v>
      </c>
      <c r="F184" s="17"/>
      <c r="G184" s="17"/>
      <c r="H184" s="17"/>
      <c r="I184" s="17"/>
      <c r="J184" s="16">
        <v>319</v>
      </c>
      <c r="K184" s="5" t="s">
        <v>168</v>
      </c>
      <c r="L184" s="6" t="s">
        <v>219</v>
      </c>
      <c r="M184" s="104"/>
      <c r="N184" s="6" t="s">
        <v>220</v>
      </c>
      <c r="O184" s="5" t="s">
        <v>715</v>
      </c>
      <c r="P184" s="6" t="s">
        <v>27</v>
      </c>
      <c r="Q184" s="7">
        <v>2032</v>
      </c>
      <c r="R184" s="8">
        <v>0.6</v>
      </c>
      <c r="S184" s="8">
        <v>0.25</v>
      </c>
      <c r="T184" s="9">
        <f t="shared" si="18"/>
        <v>0.85</v>
      </c>
      <c r="U184" s="8">
        <v>7.0000000000000007E-2</v>
      </c>
      <c r="V184" s="8">
        <v>7.0000000000000007E-2</v>
      </c>
      <c r="W184" s="8">
        <v>6.8000000000000005E-2</v>
      </c>
      <c r="X184" s="10">
        <v>0.19800000000000001</v>
      </c>
      <c r="Y184" s="8">
        <v>0.15000000000000002</v>
      </c>
      <c r="Z184" s="11">
        <v>48487</v>
      </c>
      <c r="AA184" s="12"/>
      <c r="AB184" s="28">
        <f>AH184*AI184</f>
        <v>283242.12288786483</v>
      </c>
      <c r="AC184" s="28"/>
      <c r="AD184" s="4">
        <v>33.97363956087495</v>
      </c>
      <c r="AE184" s="14">
        <f t="shared" si="20"/>
        <v>0.21808286534944565</v>
      </c>
      <c r="AF184" s="13">
        <f t="shared" si="21"/>
        <v>49.567371505376343</v>
      </c>
      <c r="AG184" s="4">
        <v>175</v>
      </c>
      <c r="AH184" s="4">
        <v>224.97388632872503</v>
      </c>
      <c r="AI184" s="26">
        <v>1259</v>
      </c>
      <c r="AJ184" s="4">
        <v>550</v>
      </c>
      <c r="AK184" s="13">
        <f t="shared" si="22"/>
        <v>155.78316758832565</v>
      </c>
      <c r="AL184" s="13">
        <f t="shared" si="23"/>
        <v>93.469900552995384</v>
      </c>
      <c r="AM184" s="20">
        <v>123735.63748079876</v>
      </c>
      <c r="AN184" s="20">
        <f t="shared" si="24"/>
        <v>39370.430107526881</v>
      </c>
      <c r="AO184" s="23">
        <f t="shared" si="25"/>
        <v>0.75</v>
      </c>
      <c r="AP184" s="24">
        <f t="shared" si="26"/>
        <v>1.3985631033192503</v>
      </c>
    </row>
    <row r="185" spans="1:42" x14ac:dyDescent="0.3">
      <c r="A185" t="s">
        <v>662</v>
      </c>
      <c r="B185" s="6" t="s">
        <v>423</v>
      </c>
      <c r="C185" s="15" t="s">
        <v>495</v>
      </c>
      <c r="D185" s="5" t="s">
        <v>550</v>
      </c>
      <c r="E185" s="19">
        <v>1</v>
      </c>
      <c r="F185" s="17"/>
      <c r="G185" s="17"/>
      <c r="H185" s="17"/>
      <c r="I185" s="17"/>
      <c r="J185" s="16">
        <v>320</v>
      </c>
      <c r="K185" s="5" t="s">
        <v>168</v>
      </c>
      <c r="L185" s="6" t="s">
        <v>221</v>
      </c>
      <c r="M185" s="104"/>
      <c r="N185" s="6" t="s">
        <v>222</v>
      </c>
      <c r="O185" s="5" t="s">
        <v>715</v>
      </c>
      <c r="P185" s="6" t="s">
        <v>27</v>
      </c>
      <c r="Q185" s="7">
        <v>2028</v>
      </c>
      <c r="R185" s="8">
        <v>0.56000000000000005</v>
      </c>
      <c r="S185" s="8">
        <v>0.29999999999999993</v>
      </c>
      <c r="T185" s="9">
        <f t="shared" si="18"/>
        <v>0.86</v>
      </c>
      <c r="U185" s="8">
        <v>7.0000000000000007E-2</v>
      </c>
      <c r="V185" s="8">
        <v>9.5000000000000001E-2</v>
      </c>
      <c r="W185" s="8">
        <v>6.8000000000000005E-2</v>
      </c>
      <c r="X185" s="10">
        <v>0.23009999999999994</v>
      </c>
      <c r="Y185" s="8">
        <v>0.14000000000000001</v>
      </c>
      <c r="Z185" s="11">
        <v>47118</v>
      </c>
      <c r="AA185" s="12"/>
      <c r="AB185" s="22">
        <f t="shared" si="19"/>
        <v>220000</v>
      </c>
      <c r="AC185" s="22"/>
      <c r="AD185" s="4">
        <v>39.466470282679424</v>
      </c>
      <c r="AE185" s="14">
        <f t="shared" si="20"/>
        <v>0.2562757810563599</v>
      </c>
      <c r="AF185" s="13">
        <f t="shared" si="21"/>
        <v>38.5</v>
      </c>
      <c r="AG185" s="4">
        <v>175</v>
      </c>
      <c r="AH185" s="4">
        <v>300.13642564802183</v>
      </c>
      <c r="AI185" s="4">
        <v>733</v>
      </c>
      <c r="AJ185" s="4">
        <v>700</v>
      </c>
      <c r="AK185" s="13">
        <f t="shared" si="22"/>
        <v>154</v>
      </c>
      <c r="AL185" s="13">
        <f t="shared" si="23"/>
        <v>86.240000000000009</v>
      </c>
      <c r="AM185" s="20">
        <v>210095.49795361527</v>
      </c>
      <c r="AN185" s="20">
        <f t="shared" si="24"/>
        <v>52523.874488403817</v>
      </c>
      <c r="AO185" s="23">
        <f t="shared" si="25"/>
        <v>0.70000000000000007</v>
      </c>
      <c r="AP185" s="24">
        <f t="shared" si="26"/>
        <v>1.3826456374022646</v>
      </c>
    </row>
    <row r="186" spans="1:42" x14ac:dyDescent="0.3">
      <c r="A186" t="s">
        <v>663</v>
      </c>
      <c r="B186" s="6" t="s">
        <v>424</v>
      </c>
      <c r="C186" s="15" t="s">
        <v>494</v>
      </c>
      <c r="D186" s="5" t="s">
        <v>550</v>
      </c>
      <c r="E186" s="19">
        <v>1</v>
      </c>
      <c r="F186" s="17"/>
      <c r="G186" s="17"/>
      <c r="H186" s="17"/>
      <c r="I186" s="17"/>
      <c r="J186" s="16">
        <v>321</v>
      </c>
      <c r="K186" s="5" t="s">
        <v>168</v>
      </c>
      <c r="L186" s="6" t="s">
        <v>223</v>
      </c>
      <c r="M186" s="104"/>
      <c r="N186" s="6" t="s">
        <v>224</v>
      </c>
      <c r="O186" s="5" t="s">
        <v>715</v>
      </c>
      <c r="P186" s="6" t="s">
        <v>27</v>
      </c>
      <c r="Q186" s="7">
        <v>2029</v>
      </c>
      <c r="R186" s="8">
        <v>0.53600000000000003</v>
      </c>
      <c r="S186" s="8">
        <v>0.32999999999999996</v>
      </c>
      <c r="T186" s="9">
        <f t="shared" si="18"/>
        <v>0.86599999999999999</v>
      </c>
      <c r="U186" s="8">
        <v>7.0000000000000007E-2</v>
      </c>
      <c r="V186" s="8">
        <v>9.5000000000000001E-2</v>
      </c>
      <c r="W186" s="8">
        <v>6.8000000000000005E-2</v>
      </c>
      <c r="X186" s="10">
        <v>0.25310999999999995</v>
      </c>
      <c r="Y186" s="8">
        <v>0.13400000000000001</v>
      </c>
      <c r="Z186" s="11">
        <v>47299</v>
      </c>
      <c r="AA186" s="12"/>
      <c r="AB186" s="28">
        <f>AH186*AI186</f>
        <v>107400</v>
      </c>
      <c r="AC186" s="28"/>
      <c r="AD186" s="4">
        <v>72.373776144519127</v>
      </c>
      <c r="AE186" s="14">
        <f t="shared" si="20"/>
        <v>1.1231188104363614</v>
      </c>
      <c r="AF186" s="13">
        <f t="shared" si="21"/>
        <v>18.795000000000002</v>
      </c>
      <c r="AG186" s="4">
        <v>175</v>
      </c>
      <c r="AH186" s="26">
        <v>300</v>
      </c>
      <c r="AI186" s="26">
        <v>358</v>
      </c>
      <c r="AJ186" s="4">
        <v>600</v>
      </c>
      <c r="AK186" s="13">
        <f t="shared" si="22"/>
        <v>64.44</v>
      </c>
      <c r="AL186" s="13">
        <f t="shared" si="23"/>
        <v>34.539839999999998</v>
      </c>
      <c r="AM186" s="27">
        <v>180167.59776536314</v>
      </c>
      <c r="AN186" s="20">
        <f t="shared" si="24"/>
        <v>52500</v>
      </c>
      <c r="AO186" s="23">
        <f t="shared" si="25"/>
        <v>0.67</v>
      </c>
      <c r="AP186" s="24">
        <f t="shared" si="26"/>
        <v>0.47357002940963111</v>
      </c>
    </row>
    <row r="187" spans="1:42" x14ac:dyDescent="0.3">
      <c r="A187" t="s">
        <v>664</v>
      </c>
      <c r="B187" s="6" t="s">
        <v>425</v>
      </c>
      <c r="C187" s="15" t="s">
        <v>493</v>
      </c>
      <c r="D187" s="5" t="s">
        <v>550</v>
      </c>
      <c r="E187" s="19">
        <v>1</v>
      </c>
      <c r="F187" s="17"/>
      <c r="G187" s="17"/>
      <c r="H187" s="17"/>
      <c r="I187" s="17"/>
      <c r="J187" s="16">
        <v>322</v>
      </c>
      <c r="K187" s="5" t="s">
        <v>168</v>
      </c>
      <c r="L187" s="6" t="s">
        <v>225</v>
      </c>
      <c r="M187" s="104"/>
      <c r="N187" s="6" t="s">
        <v>226</v>
      </c>
      <c r="O187" s="79" t="s">
        <v>714</v>
      </c>
      <c r="P187" s="6" t="s">
        <v>27</v>
      </c>
      <c r="Q187" s="7">
        <v>2026</v>
      </c>
      <c r="R187" s="8">
        <v>0.53600000000000003</v>
      </c>
      <c r="S187" s="8">
        <v>0.32999999999999996</v>
      </c>
      <c r="T187" s="9">
        <f t="shared" si="18"/>
        <v>0.86599999999999999</v>
      </c>
      <c r="U187" s="8">
        <v>7.0000000000000007E-2</v>
      </c>
      <c r="V187" s="8">
        <v>9.5000000000000001E-2</v>
      </c>
      <c r="W187" s="8">
        <v>6.8000000000000005E-2</v>
      </c>
      <c r="X187" s="10">
        <v>0.25310999999999995</v>
      </c>
      <c r="Y187" s="8">
        <v>0.13400000000000001</v>
      </c>
      <c r="Z187" s="11">
        <v>46295</v>
      </c>
      <c r="AA187" s="12"/>
      <c r="AB187" s="22">
        <f t="shared" si="19"/>
        <v>167783.24</v>
      </c>
      <c r="AC187" s="22"/>
      <c r="AD187" s="4">
        <v>28.641858851679213</v>
      </c>
      <c r="AE187" s="14">
        <f t="shared" si="20"/>
        <v>0.26262693599999998</v>
      </c>
      <c r="AF187" s="13">
        <f t="shared" si="21"/>
        <v>29.362066999999996</v>
      </c>
      <c r="AG187" s="4">
        <v>175</v>
      </c>
      <c r="AH187" s="4">
        <v>191.97167048054919</v>
      </c>
      <c r="AI187" s="4">
        <v>874</v>
      </c>
      <c r="AJ187" s="4">
        <v>650</v>
      </c>
      <c r="AK187" s="13">
        <f t="shared" si="22"/>
        <v>109.059106</v>
      </c>
      <c r="AL187" s="13">
        <f t="shared" si="23"/>
        <v>58.455680816000005</v>
      </c>
      <c r="AM187" s="20">
        <v>124781.58581235698</v>
      </c>
      <c r="AN187" s="20">
        <f t="shared" si="24"/>
        <v>33595.042334096106</v>
      </c>
      <c r="AO187" s="23">
        <f t="shared" si="25"/>
        <v>0.67</v>
      </c>
      <c r="AP187" s="24">
        <f t="shared" si="26"/>
        <v>1.2597354394053424</v>
      </c>
    </row>
    <row r="188" spans="1:42" x14ac:dyDescent="0.3">
      <c r="A188" t="s">
        <v>665</v>
      </c>
      <c r="B188" s="6" t="s">
        <v>426</v>
      </c>
      <c r="C188" s="15" t="s">
        <v>493</v>
      </c>
      <c r="D188" s="5" t="s">
        <v>550</v>
      </c>
      <c r="E188" s="19">
        <v>1</v>
      </c>
      <c r="F188" s="17"/>
      <c r="G188" s="17"/>
      <c r="H188" s="17"/>
      <c r="I188" s="17"/>
      <c r="J188" s="16">
        <v>323</v>
      </c>
      <c r="K188" s="5" t="s">
        <v>168</v>
      </c>
      <c r="L188" s="6" t="s">
        <v>225</v>
      </c>
      <c r="M188" s="104"/>
      <c r="N188" s="6" t="s">
        <v>227</v>
      </c>
      <c r="O188" s="5" t="s">
        <v>714</v>
      </c>
      <c r="P188" s="6" t="s">
        <v>27</v>
      </c>
      <c r="Q188" s="7">
        <v>2026</v>
      </c>
      <c r="R188" s="8">
        <v>0.52</v>
      </c>
      <c r="S188" s="8">
        <v>0.35</v>
      </c>
      <c r="T188" s="9">
        <f t="shared" si="18"/>
        <v>0.87</v>
      </c>
      <c r="U188" s="8">
        <v>7.0000000000000007E-2</v>
      </c>
      <c r="V188" s="8">
        <v>9.5000000000000001E-2</v>
      </c>
      <c r="W188" s="8">
        <v>6.8000000000000005E-2</v>
      </c>
      <c r="X188" s="10">
        <v>0.26844999999999997</v>
      </c>
      <c r="Y188" s="8">
        <v>0.13</v>
      </c>
      <c r="Z188" s="11">
        <v>46295</v>
      </c>
      <c r="AA188" s="12"/>
      <c r="AB188" s="22">
        <f t="shared" si="19"/>
        <v>93454.87</v>
      </c>
      <c r="AC188" s="22"/>
      <c r="AD188" s="4">
        <v>17.463755476372661</v>
      </c>
      <c r="AE188" s="14">
        <f t="shared" si="20"/>
        <v>0.28748973828219332</v>
      </c>
      <c r="AF188" s="13">
        <f t="shared" si="21"/>
        <v>16.354602249999999</v>
      </c>
      <c r="AG188" s="4">
        <v>175</v>
      </c>
      <c r="AH188" s="75">
        <v>178.69</v>
      </c>
      <c r="AI188" s="4">
        <v>523</v>
      </c>
      <c r="AJ188" s="4">
        <v>650</v>
      </c>
      <c r="AK188" s="13">
        <f t="shared" si="22"/>
        <v>60.745665500000001</v>
      </c>
      <c r="AL188" s="13">
        <f t="shared" si="23"/>
        <v>31.587746060000001</v>
      </c>
      <c r="AM188" s="20">
        <v>119878.85372848948</v>
      </c>
      <c r="AN188" s="20">
        <f t="shared" si="24"/>
        <v>31270.75</v>
      </c>
      <c r="AO188" s="23">
        <f t="shared" si="25"/>
        <v>0.65</v>
      </c>
      <c r="AP188" s="24">
        <f t="shared" si="26"/>
        <v>1.1675517449568096</v>
      </c>
    </row>
    <row r="189" spans="1:42" x14ac:dyDescent="0.3">
      <c r="A189" t="s">
        <v>666</v>
      </c>
      <c r="B189" s="6" t="s">
        <v>427</v>
      </c>
      <c r="C189" s="15" t="s">
        <v>28</v>
      </c>
      <c r="D189" s="5" t="s">
        <v>550</v>
      </c>
      <c r="E189" s="19">
        <v>1</v>
      </c>
      <c r="F189" s="17"/>
      <c r="G189" s="17"/>
      <c r="H189" s="17"/>
      <c r="I189" s="17"/>
      <c r="J189" s="16">
        <v>324</v>
      </c>
      <c r="K189" s="5" t="s">
        <v>168</v>
      </c>
      <c r="L189" s="6" t="s">
        <v>228</v>
      </c>
      <c r="M189" s="104"/>
      <c r="N189" s="6" t="s">
        <v>229</v>
      </c>
      <c r="O189" s="5" t="s">
        <v>715</v>
      </c>
      <c r="P189" s="6" t="s">
        <v>27</v>
      </c>
      <c r="Q189" s="7">
        <v>2028</v>
      </c>
      <c r="R189" s="8">
        <v>0.59199999999999997</v>
      </c>
      <c r="S189" s="8">
        <v>0.26</v>
      </c>
      <c r="T189" s="9">
        <f t="shared" si="18"/>
        <v>0.85199999999999998</v>
      </c>
      <c r="U189" s="8">
        <v>7.0000000000000007E-2</v>
      </c>
      <c r="V189" s="8">
        <v>9.5000000000000001E-2</v>
      </c>
      <c r="W189" s="8">
        <v>6.8000000000000005E-2</v>
      </c>
      <c r="X189" s="10">
        <v>0.19942000000000001</v>
      </c>
      <c r="Y189" s="8">
        <v>0.14800000000000002</v>
      </c>
      <c r="Z189" s="11">
        <v>47118</v>
      </c>
      <c r="AA189" s="12"/>
      <c r="AB189" s="22">
        <f t="shared" si="19"/>
        <v>190000</v>
      </c>
      <c r="AC189" s="22"/>
      <c r="AD189" s="4">
        <v>23.210043237671005</v>
      </c>
      <c r="AE189" s="14">
        <f t="shared" si="20"/>
        <v>0.222105676915512</v>
      </c>
      <c r="AF189" s="13">
        <f t="shared" si="21"/>
        <v>33.25</v>
      </c>
      <c r="AG189" s="4">
        <v>175</v>
      </c>
      <c r="AH189" s="4">
        <v>180.09478672985782</v>
      </c>
      <c r="AI189" s="4">
        <v>1055</v>
      </c>
      <c r="AJ189" s="4">
        <v>550</v>
      </c>
      <c r="AK189" s="13">
        <f t="shared" si="22"/>
        <v>104.5</v>
      </c>
      <c r="AL189" s="13">
        <f t="shared" si="23"/>
        <v>61.863999999999997</v>
      </c>
      <c r="AM189" s="20">
        <v>99052.132701421797</v>
      </c>
      <c r="AN189" s="20">
        <f t="shared" si="24"/>
        <v>31516.587677725118</v>
      </c>
      <c r="AO189" s="23">
        <f t="shared" si="25"/>
        <v>0.74</v>
      </c>
      <c r="AP189" s="24">
        <f t="shared" si="26"/>
        <v>1.3696411756979359</v>
      </c>
    </row>
    <row r="190" spans="1:42" x14ac:dyDescent="0.3">
      <c r="A190" t="s">
        <v>666</v>
      </c>
      <c r="B190" s="6" t="s">
        <v>428</v>
      </c>
      <c r="C190" s="15" t="s">
        <v>28</v>
      </c>
      <c r="D190" s="5" t="s">
        <v>550</v>
      </c>
      <c r="E190" s="19">
        <v>1</v>
      </c>
      <c r="F190" s="17"/>
      <c r="G190" s="17"/>
      <c r="H190" s="17"/>
      <c r="I190" s="17"/>
      <c r="J190" s="16">
        <v>325</v>
      </c>
      <c r="K190" s="5" t="s">
        <v>168</v>
      </c>
      <c r="L190" s="6" t="s">
        <v>228</v>
      </c>
      <c r="M190" s="104"/>
      <c r="N190" s="6" t="s">
        <v>230</v>
      </c>
      <c r="O190" s="5" t="s">
        <v>715</v>
      </c>
      <c r="P190" s="6" t="s">
        <v>27</v>
      </c>
      <c r="Q190" s="7">
        <v>2029</v>
      </c>
      <c r="R190" s="8">
        <v>0.59199999999999997</v>
      </c>
      <c r="S190" s="8">
        <v>0.26</v>
      </c>
      <c r="T190" s="9">
        <f t="shared" si="18"/>
        <v>0.85199999999999998</v>
      </c>
      <c r="U190" s="8">
        <v>7.0000000000000007E-2</v>
      </c>
      <c r="V190" s="8">
        <v>9.5000000000000001E-2</v>
      </c>
      <c r="W190" s="8">
        <v>6.8000000000000005E-2</v>
      </c>
      <c r="X190" s="10">
        <v>0.19942000000000001</v>
      </c>
      <c r="Y190" s="8">
        <v>0.14800000000000002</v>
      </c>
      <c r="Z190" s="11">
        <v>47483</v>
      </c>
      <c r="AA190" s="12"/>
      <c r="AB190" s="22">
        <f t="shared" si="19"/>
        <v>190000</v>
      </c>
      <c r="AC190" s="22"/>
      <c r="AD190" s="4">
        <v>24.022394750989488</v>
      </c>
      <c r="AE190" s="14">
        <f t="shared" si="20"/>
        <v>0.22987937560755492</v>
      </c>
      <c r="AF190" s="13">
        <f t="shared" si="21"/>
        <v>33.250000000000007</v>
      </c>
      <c r="AG190" s="4">
        <v>175</v>
      </c>
      <c r="AH190" s="4">
        <v>179.92424242424244</v>
      </c>
      <c r="AI190" s="4">
        <v>1056</v>
      </c>
      <c r="AJ190" s="4">
        <v>550</v>
      </c>
      <c r="AK190" s="13">
        <f t="shared" si="22"/>
        <v>104.5</v>
      </c>
      <c r="AL190" s="13">
        <f t="shared" si="23"/>
        <v>61.863999999999997</v>
      </c>
      <c r="AM190" s="20">
        <v>98958.333333333343</v>
      </c>
      <c r="AN190" s="20">
        <f t="shared" si="24"/>
        <v>31486.742424242428</v>
      </c>
      <c r="AO190" s="23">
        <f t="shared" si="25"/>
        <v>0.74</v>
      </c>
      <c r="AP190" s="24">
        <f t="shared" si="26"/>
        <v>1.350214188462304</v>
      </c>
    </row>
    <row r="191" spans="1:42" x14ac:dyDescent="0.3">
      <c r="A191" t="s">
        <v>667</v>
      </c>
      <c r="B191" s="6" t="s">
        <v>429</v>
      </c>
      <c r="C191" s="15" t="s">
        <v>492</v>
      </c>
      <c r="D191" s="5" t="s">
        <v>550</v>
      </c>
      <c r="E191" s="19">
        <v>1</v>
      </c>
      <c r="F191" s="17"/>
      <c r="G191" s="17"/>
      <c r="H191" s="17"/>
      <c r="I191" s="17"/>
      <c r="J191" s="16">
        <v>326</v>
      </c>
      <c r="K191" s="5" t="s">
        <v>231</v>
      </c>
      <c r="L191" s="6" t="s">
        <v>232</v>
      </c>
      <c r="M191" s="104"/>
      <c r="N191" s="6" t="s">
        <v>50</v>
      </c>
      <c r="O191" s="5" t="s">
        <v>714</v>
      </c>
      <c r="P191" s="6" t="s">
        <v>27</v>
      </c>
      <c r="Q191" s="7">
        <v>2029</v>
      </c>
      <c r="R191" s="8">
        <v>0.7</v>
      </c>
      <c r="S191" s="8">
        <v>0.30000000000000004</v>
      </c>
      <c r="T191" s="9">
        <f t="shared" si="18"/>
        <v>1</v>
      </c>
      <c r="U191" s="8">
        <v>0.05</v>
      </c>
      <c r="V191" s="8">
        <v>9.0000000000000011E-2</v>
      </c>
      <c r="W191" s="8">
        <v>6.8000000000000005E-2</v>
      </c>
      <c r="X191" s="10">
        <v>0.23760000000000003</v>
      </c>
      <c r="Y191" s="8">
        <v>0</v>
      </c>
      <c r="Z191" s="11">
        <v>47483</v>
      </c>
      <c r="AA191" s="12"/>
      <c r="AB191" s="76">
        <f>AH191*AI191</f>
        <v>248211</v>
      </c>
      <c r="AC191" s="76"/>
      <c r="AD191" s="4">
        <v>30.746659283425643</v>
      </c>
      <c r="AE191" s="14">
        <f t="shared" si="20"/>
        <v>0.24774614568593367</v>
      </c>
      <c r="AF191" s="13">
        <f t="shared" si="21"/>
        <v>39.713760000000001</v>
      </c>
      <c r="AG191" s="4">
        <v>160</v>
      </c>
      <c r="AH191" s="75">
        <v>261</v>
      </c>
      <c r="AI191" s="4">
        <v>951</v>
      </c>
      <c r="AJ191" s="4">
        <v>500</v>
      </c>
      <c r="AK191" s="13">
        <f t="shared" si="22"/>
        <v>124.10550000000001</v>
      </c>
      <c r="AL191" s="13">
        <f t="shared" si="23"/>
        <v>86.873850000000004</v>
      </c>
      <c r="AM191" s="27">
        <v>110000</v>
      </c>
      <c r="AN191" s="20">
        <f t="shared" si="24"/>
        <v>41760</v>
      </c>
      <c r="AO191" s="23">
        <f t="shared" si="25"/>
        <v>0.7</v>
      </c>
      <c r="AP191" s="24">
        <f t="shared" si="26"/>
        <v>1.2329454023052526</v>
      </c>
    </row>
    <row r="192" spans="1:42" x14ac:dyDescent="0.3">
      <c r="A192" t="s">
        <v>667</v>
      </c>
      <c r="B192" s="6" t="s">
        <v>430</v>
      </c>
      <c r="C192" s="15" t="s">
        <v>492</v>
      </c>
      <c r="D192" s="5" t="s">
        <v>550</v>
      </c>
      <c r="E192" s="19">
        <v>1</v>
      </c>
      <c r="F192" s="17"/>
      <c r="G192" s="17"/>
      <c r="H192" s="17"/>
      <c r="I192" s="17"/>
      <c r="J192" s="16">
        <v>327</v>
      </c>
      <c r="K192" s="5" t="s">
        <v>231</v>
      </c>
      <c r="L192" s="6" t="s">
        <v>232</v>
      </c>
      <c r="M192" s="104"/>
      <c r="N192" s="6" t="s">
        <v>233</v>
      </c>
      <c r="O192" s="5" t="s">
        <v>714</v>
      </c>
      <c r="P192" s="6" t="s">
        <v>27</v>
      </c>
      <c r="Q192" s="7">
        <v>2031</v>
      </c>
      <c r="R192" s="8">
        <v>0.7</v>
      </c>
      <c r="S192" s="8">
        <v>0.30000000000000004</v>
      </c>
      <c r="T192" s="9">
        <f t="shared" si="18"/>
        <v>1</v>
      </c>
      <c r="U192" s="8">
        <v>0.05</v>
      </c>
      <c r="V192" s="8">
        <v>9.0000000000000011E-2</v>
      </c>
      <c r="W192" s="8">
        <v>6.8000000000000005E-2</v>
      </c>
      <c r="X192" s="10">
        <v>0.23760000000000003</v>
      </c>
      <c r="Y192" s="8">
        <v>0</v>
      </c>
      <c r="Z192" s="11">
        <v>48029</v>
      </c>
      <c r="AA192" s="12"/>
      <c r="AB192" s="76">
        <f>AH192*AI192</f>
        <v>248211</v>
      </c>
      <c r="AC192" s="76"/>
      <c r="AD192" s="4">
        <v>32.936590090887627</v>
      </c>
      <c r="AE192" s="14">
        <f t="shared" si="20"/>
        <v>0.26539186491241423</v>
      </c>
      <c r="AF192" s="13">
        <f t="shared" si="21"/>
        <v>39.713760000000001</v>
      </c>
      <c r="AG192" s="4">
        <v>160</v>
      </c>
      <c r="AH192" s="75">
        <v>261</v>
      </c>
      <c r="AI192" s="4">
        <v>951</v>
      </c>
      <c r="AJ192" s="4">
        <v>500</v>
      </c>
      <c r="AK192" s="13">
        <f t="shared" si="22"/>
        <v>124.10550000000001</v>
      </c>
      <c r="AL192" s="13">
        <f t="shared" si="23"/>
        <v>86.873850000000004</v>
      </c>
      <c r="AM192" s="27">
        <v>110000</v>
      </c>
      <c r="AN192" s="20">
        <f t="shared" si="24"/>
        <v>41760</v>
      </c>
      <c r="AO192" s="23">
        <f t="shared" si="25"/>
        <v>0.7</v>
      </c>
      <c r="AP192" s="24">
        <f t="shared" si="26"/>
        <v>1.1957801977735603</v>
      </c>
    </row>
    <row r="193" spans="1:42" x14ac:dyDescent="0.3">
      <c r="A193" t="s">
        <v>668</v>
      </c>
      <c r="B193" s="6" t="s">
        <v>431</v>
      </c>
      <c r="C193" s="15" t="s">
        <v>492</v>
      </c>
      <c r="D193" s="5" t="s">
        <v>550</v>
      </c>
      <c r="E193" s="19">
        <v>1</v>
      </c>
      <c r="F193" s="17"/>
      <c r="G193" s="17"/>
      <c r="H193" s="17"/>
      <c r="I193" s="17"/>
      <c r="J193" s="16">
        <v>328</v>
      </c>
      <c r="K193" s="5" t="s">
        <v>231</v>
      </c>
      <c r="L193" s="6" t="s">
        <v>232</v>
      </c>
      <c r="M193" s="104"/>
      <c r="N193" s="6" t="s">
        <v>52</v>
      </c>
      <c r="O193" s="5" t="s">
        <v>715</v>
      </c>
      <c r="P193" s="6" t="s">
        <v>27</v>
      </c>
      <c r="Q193" s="7">
        <v>2033</v>
      </c>
      <c r="R193" s="8">
        <v>0.7</v>
      </c>
      <c r="S193" s="8">
        <v>0.30000000000000004</v>
      </c>
      <c r="T193" s="9">
        <f t="shared" si="18"/>
        <v>1</v>
      </c>
      <c r="U193" s="8">
        <v>0.05</v>
      </c>
      <c r="V193" s="8">
        <v>9.0000000000000011E-2</v>
      </c>
      <c r="W193" s="8">
        <v>6.8000000000000005E-2</v>
      </c>
      <c r="X193" s="10">
        <v>0.23760000000000003</v>
      </c>
      <c r="Y193" s="8">
        <v>0</v>
      </c>
      <c r="Z193" s="11">
        <v>48760</v>
      </c>
      <c r="AA193" s="12"/>
      <c r="AB193" s="22">
        <f t="shared" si="19"/>
        <v>232066.42500000002</v>
      </c>
      <c r="AC193" s="22"/>
      <c r="AD193" s="4">
        <v>36.468797946900615</v>
      </c>
      <c r="AE193" s="14">
        <f t="shared" si="20"/>
        <v>0.31429620158883909</v>
      </c>
      <c r="AF193" s="13">
        <f t="shared" si="21"/>
        <v>37.130628000000009</v>
      </c>
      <c r="AG193" s="4">
        <v>160</v>
      </c>
      <c r="AH193" s="4">
        <v>270.15881839348083</v>
      </c>
      <c r="AI193" s="4">
        <v>859</v>
      </c>
      <c r="AJ193" s="4">
        <v>500.00000000000006</v>
      </c>
      <c r="AK193" s="13">
        <f t="shared" si="22"/>
        <v>116.03321250000003</v>
      </c>
      <c r="AL193" s="13">
        <f t="shared" si="23"/>
        <v>81.223248750000025</v>
      </c>
      <c r="AM193" s="20">
        <v>135079.40919674042</v>
      </c>
      <c r="AN193" s="20">
        <f t="shared" si="24"/>
        <v>43225.410942956936</v>
      </c>
      <c r="AO193" s="23">
        <f t="shared" si="25"/>
        <v>0.7</v>
      </c>
      <c r="AP193" s="24">
        <f t="shared" si="26"/>
        <v>1.1035853568830785</v>
      </c>
    </row>
    <row r="194" spans="1:42" x14ac:dyDescent="0.3">
      <c r="A194" t="s">
        <v>668</v>
      </c>
      <c r="B194" s="6" t="s">
        <v>432</v>
      </c>
      <c r="C194" s="15" t="s">
        <v>492</v>
      </c>
      <c r="D194" s="5" t="s">
        <v>550</v>
      </c>
      <c r="E194" s="19">
        <v>1</v>
      </c>
      <c r="F194" s="17"/>
      <c r="G194" s="17"/>
      <c r="H194" s="17"/>
      <c r="I194" s="17"/>
      <c r="J194" s="16">
        <v>329</v>
      </c>
      <c r="K194" s="5" t="s">
        <v>231</v>
      </c>
      <c r="L194" s="6" t="s">
        <v>232</v>
      </c>
      <c r="M194" s="104"/>
      <c r="N194" s="6" t="s">
        <v>53</v>
      </c>
      <c r="O194" s="5" t="s">
        <v>715</v>
      </c>
      <c r="P194" s="6" t="s">
        <v>27</v>
      </c>
      <c r="Q194" s="7">
        <v>2035</v>
      </c>
      <c r="R194" s="8">
        <v>0.7</v>
      </c>
      <c r="S194" s="8">
        <v>0.30000000000000004</v>
      </c>
      <c r="T194" s="9">
        <f t="shared" ref="T194:T231" si="27">SUM(R194:S194)</f>
        <v>1</v>
      </c>
      <c r="U194" s="8">
        <v>0.05</v>
      </c>
      <c r="V194" s="8">
        <v>9.0000000000000011E-2</v>
      </c>
      <c r="W194" s="8">
        <v>6.8000000000000005E-2</v>
      </c>
      <c r="X194" s="10">
        <v>0.23760000000000003</v>
      </c>
      <c r="Y194" s="8">
        <v>0</v>
      </c>
      <c r="Z194" s="11">
        <v>49490</v>
      </c>
      <c r="AA194" s="12"/>
      <c r="AB194" s="22">
        <f t="shared" ref="AB194:AB230" si="28">AH194*AI194</f>
        <v>232066.42500000002</v>
      </c>
      <c r="AC194" s="22"/>
      <c r="AD194" s="4">
        <v>39.066288080668613</v>
      </c>
      <c r="AE194" s="14">
        <f t="shared" ref="AE194:AE240" si="29">IF(AK194=0,0,AD194/AK194)</f>
        <v>0.33668194854700417</v>
      </c>
      <c r="AF194" s="13">
        <f t="shared" ref="AF194:AF240" si="30">(AG194*AH194*AI194)/10^6</f>
        <v>37.130628000000009</v>
      </c>
      <c r="AG194" s="4">
        <v>160</v>
      </c>
      <c r="AH194" s="4">
        <v>270.15881839348083</v>
      </c>
      <c r="AI194" s="4">
        <v>859</v>
      </c>
      <c r="AJ194" s="4">
        <v>500.00000000000006</v>
      </c>
      <c r="AK194" s="13">
        <f t="shared" ref="AK194:AK233" si="31">(AJ194*AI194*AH194)/10^6</f>
        <v>116.03321250000003</v>
      </c>
      <c r="AL194" s="13">
        <f t="shared" ref="AL194:AL232" si="32">AK194*R194</f>
        <v>81.223248750000025</v>
      </c>
      <c r="AM194" s="20">
        <v>135079.40919674042</v>
      </c>
      <c r="AN194" s="20">
        <f t="shared" ref="AN194:AN229" si="33">AG194*AH194</f>
        <v>43225.410942956936</v>
      </c>
      <c r="AO194" s="23">
        <f t="shared" si="25"/>
        <v>0.7</v>
      </c>
      <c r="AP194" s="24">
        <f t="shared" si="26"/>
        <v>1.0659650406849812</v>
      </c>
    </row>
    <row r="195" spans="1:42" x14ac:dyDescent="0.3">
      <c r="A195" t="s">
        <v>668</v>
      </c>
      <c r="B195" s="6" t="s">
        <v>433</v>
      </c>
      <c r="C195" s="15" t="s">
        <v>492</v>
      </c>
      <c r="D195" s="5" t="s">
        <v>550</v>
      </c>
      <c r="E195" s="19">
        <v>1</v>
      </c>
      <c r="F195" s="17"/>
      <c r="G195" s="17"/>
      <c r="H195" s="17"/>
      <c r="I195" s="17"/>
      <c r="J195" s="16">
        <v>330</v>
      </c>
      <c r="K195" s="5" t="s">
        <v>231</v>
      </c>
      <c r="L195" s="6" t="s">
        <v>232</v>
      </c>
      <c r="M195" s="104"/>
      <c r="N195" s="6" t="s">
        <v>54</v>
      </c>
      <c r="O195" s="5" t="s">
        <v>715</v>
      </c>
      <c r="P195" s="6" t="s">
        <v>27</v>
      </c>
      <c r="Q195" s="7">
        <v>2037</v>
      </c>
      <c r="R195" s="8">
        <v>0.7</v>
      </c>
      <c r="S195" s="8">
        <v>0.30000000000000004</v>
      </c>
      <c r="T195" s="9">
        <f t="shared" si="27"/>
        <v>1</v>
      </c>
      <c r="U195" s="8">
        <v>0.05</v>
      </c>
      <c r="V195" s="8">
        <v>9.0000000000000011E-2</v>
      </c>
      <c r="W195" s="8">
        <v>6.8000000000000005E-2</v>
      </c>
      <c r="X195" s="10">
        <v>0.23760000000000003</v>
      </c>
      <c r="Y195" s="8">
        <v>0</v>
      </c>
      <c r="Z195" s="11">
        <v>50221</v>
      </c>
      <c r="AA195" s="12"/>
      <c r="AB195" s="22">
        <f t="shared" si="28"/>
        <v>232066.42500000002</v>
      </c>
      <c r="AC195" s="22"/>
      <c r="AD195" s="4">
        <v>0</v>
      </c>
      <c r="AE195" s="14">
        <f t="shared" si="29"/>
        <v>0</v>
      </c>
      <c r="AF195" s="13">
        <f t="shared" si="30"/>
        <v>37.130628000000009</v>
      </c>
      <c r="AG195" s="4">
        <v>160</v>
      </c>
      <c r="AH195" s="4">
        <v>270.15881839348083</v>
      </c>
      <c r="AI195" s="4">
        <v>859</v>
      </c>
      <c r="AJ195" s="4">
        <v>500.00000000000006</v>
      </c>
      <c r="AK195" s="13">
        <f t="shared" si="31"/>
        <v>116.03321250000003</v>
      </c>
      <c r="AL195" s="13">
        <f t="shared" si="32"/>
        <v>81.223248750000025</v>
      </c>
      <c r="AM195" s="20">
        <v>135079.40919674042</v>
      </c>
      <c r="AN195" s="20">
        <f t="shared" si="33"/>
        <v>43225.410942956936</v>
      </c>
      <c r="AO195" s="23">
        <f t="shared" ref="AO195:AO230" si="34">R195+Y195</f>
        <v>0.7</v>
      </c>
      <c r="AP195" s="24">
        <f t="shared" ref="AP195:AP239" si="35">AK195*AO195/(AF195+AD195)</f>
        <v>2.1875</v>
      </c>
    </row>
    <row r="196" spans="1:42" x14ac:dyDescent="0.3">
      <c r="A196" t="s">
        <v>668</v>
      </c>
      <c r="B196" s="6" t="s">
        <v>434</v>
      </c>
      <c r="C196" s="15" t="s">
        <v>492</v>
      </c>
      <c r="D196" s="5" t="s">
        <v>550</v>
      </c>
      <c r="E196" s="19">
        <v>1</v>
      </c>
      <c r="F196" s="17"/>
      <c r="G196" s="17"/>
      <c r="H196" s="17"/>
      <c r="I196" s="17"/>
      <c r="J196" s="16">
        <v>331</v>
      </c>
      <c r="K196" s="5" t="s">
        <v>231</v>
      </c>
      <c r="L196" s="6" t="s">
        <v>232</v>
      </c>
      <c r="M196" s="104"/>
      <c r="N196" s="6" t="s">
        <v>55</v>
      </c>
      <c r="O196" s="5" t="s">
        <v>715</v>
      </c>
      <c r="P196" s="6" t="s">
        <v>27</v>
      </c>
      <c r="Q196" s="7">
        <v>2039</v>
      </c>
      <c r="R196" s="8">
        <v>0.7</v>
      </c>
      <c r="S196" s="8">
        <v>0.30000000000000004</v>
      </c>
      <c r="T196" s="9">
        <f t="shared" si="27"/>
        <v>1</v>
      </c>
      <c r="U196" s="8">
        <v>0.05</v>
      </c>
      <c r="V196" s="8">
        <v>9.0000000000000011E-2</v>
      </c>
      <c r="W196" s="8">
        <v>6.8000000000000005E-2</v>
      </c>
      <c r="X196" s="10">
        <v>0.23760000000000003</v>
      </c>
      <c r="Y196" s="8">
        <v>0</v>
      </c>
      <c r="Z196" s="11">
        <v>50951</v>
      </c>
      <c r="AA196" s="12"/>
      <c r="AB196" s="22">
        <f t="shared" si="28"/>
        <v>232066.42500000002</v>
      </c>
      <c r="AC196" s="22"/>
      <c r="AD196" s="4">
        <v>0</v>
      </c>
      <c r="AE196" s="14">
        <f t="shared" si="29"/>
        <v>0</v>
      </c>
      <c r="AF196" s="13">
        <f t="shared" si="30"/>
        <v>37.130628000000009</v>
      </c>
      <c r="AG196" s="4">
        <v>160</v>
      </c>
      <c r="AH196" s="4">
        <v>270.15881839348083</v>
      </c>
      <c r="AI196" s="4">
        <v>859</v>
      </c>
      <c r="AJ196" s="4">
        <v>500.00000000000006</v>
      </c>
      <c r="AK196" s="13">
        <f t="shared" si="31"/>
        <v>116.03321250000003</v>
      </c>
      <c r="AL196" s="13">
        <f t="shared" si="32"/>
        <v>81.223248750000025</v>
      </c>
      <c r="AM196" s="20">
        <v>135079.40919674042</v>
      </c>
      <c r="AN196" s="20">
        <f t="shared" si="33"/>
        <v>43225.410942956936</v>
      </c>
      <c r="AO196" s="23">
        <f t="shared" si="34"/>
        <v>0.7</v>
      </c>
      <c r="AP196" s="24">
        <f t="shared" si="35"/>
        <v>2.1875</v>
      </c>
    </row>
    <row r="197" spans="1:42" x14ac:dyDescent="0.3">
      <c r="A197" t="s">
        <v>668</v>
      </c>
      <c r="B197" s="6" t="s">
        <v>435</v>
      </c>
      <c r="C197" s="15" t="s">
        <v>492</v>
      </c>
      <c r="D197" s="5" t="s">
        <v>550</v>
      </c>
      <c r="E197" s="19">
        <v>1</v>
      </c>
      <c r="F197" s="17"/>
      <c r="G197" s="17"/>
      <c r="H197" s="17"/>
      <c r="I197" s="17"/>
      <c r="J197" s="16">
        <v>332</v>
      </c>
      <c r="K197" s="5" t="s">
        <v>231</v>
      </c>
      <c r="L197" s="6" t="s">
        <v>232</v>
      </c>
      <c r="M197" s="104"/>
      <c r="N197" s="6" t="s">
        <v>56</v>
      </c>
      <c r="O197" s="5" t="s">
        <v>715</v>
      </c>
      <c r="P197" s="6" t="s">
        <v>27</v>
      </c>
      <c r="Q197" s="7">
        <v>2041</v>
      </c>
      <c r="R197" s="8">
        <v>0.7</v>
      </c>
      <c r="S197" s="8">
        <v>0.30000000000000004</v>
      </c>
      <c r="T197" s="9">
        <f t="shared" si="27"/>
        <v>1</v>
      </c>
      <c r="U197" s="8">
        <v>0.05</v>
      </c>
      <c r="V197" s="8">
        <v>9.0000000000000011E-2</v>
      </c>
      <c r="W197" s="8">
        <v>6.8000000000000005E-2</v>
      </c>
      <c r="X197" s="10">
        <v>0.23760000000000003</v>
      </c>
      <c r="Y197" s="8">
        <v>0</v>
      </c>
      <c r="Z197" s="11">
        <v>51682</v>
      </c>
      <c r="AA197" s="12"/>
      <c r="AB197" s="22">
        <f t="shared" si="28"/>
        <v>232066.42500000002</v>
      </c>
      <c r="AC197" s="22"/>
      <c r="AD197" s="4">
        <v>0</v>
      </c>
      <c r="AE197" s="14">
        <f t="shared" si="29"/>
        <v>0</v>
      </c>
      <c r="AF197" s="13">
        <f t="shared" si="30"/>
        <v>37.130628000000009</v>
      </c>
      <c r="AG197" s="4">
        <v>160</v>
      </c>
      <c r="AH197" s="4">
        <v>270.15881839348083</v>
      </c>
      <c r="AI197" s="4">
        <v>859</v>
      </c>
      <c r="AJ197" s="4">
        <v>500.00000000000006</v>
      </c>
      <c r="AK197" s="13">
        <f t="shared" si="31"/>
        <v>116.03321250000003</v>
      </c>
      <c r="AL197" s="13">
        <f t="shared" si="32"/>
        <v>81.223248750000025</v>
      </c>
      <c r="AM197" s="20">
        <v>135079.40919674042</v>
      </c>
      <c r="AN197" s="20">
        <f t="shared" si="33"/>
        <v>43225.410942956936</v>
      </c>
      <c r="AO197" s="23">
        <f t="shared" si="34"/>
        <v>0.7</v>
      </c>
      <c r="AP197" s="24">
        <f t="shared" si="35"/>
        <v>2.1875</v>
      </c>
    </row>
    <row r="198" spans="1:42" x14ac:dyDescent="0.3">
      <c r="A198" t="s">
        <v>668</v>
      </c>
      <c r="B198" s="6" t="s">
        <v>436</v>
      </c>
      <c r="C198" s="15" t="s">
        <v>492</v>
      </c>
      <c r="D198" s="5" t="s">
        <v>550</v>
      </c>
      <c r="E198" s="19">
        <v>1</v>
      </c>
      <c r="F198" s="17"/>
      <c r="G198" s="17"/>
      <c r="H198" s="17"/>
      <c r="I198" s="17"/>
      <c r="J198" s="16">
        <v>333</v>
      </c>
      <c r="K198" s="5" t="s">
        <v>231</v>
      </c>
      <c r="L198" s="6" t="s">
        <v>232</v>
      </c>
      <c r="M198" s="104"/>
      <c r="N198" s="6" t="s">
        <v>234</v>
      </c>
      <c r="O198" s="5" t="s">
        <v>715</v>
      </c>
      <c r="P198" s="6" t="s">
        <v>27</v>
      </c>
      <c r="Q198" s="7">
        <v>2043</v>
      </c>
      <c r="R198" s="8">
        <v>0.7</v>
      </c>
      <c r="S198" s="8">
        <v>0.30000000000000004</v>
      </c>
      <c r="T198" s="9">
        <f t="shared" si="27"/>
        <v>1</v>
      </c>
      <c r="U198" s="8">
        <v>0.05</v>
      </c>
      <c r="V198" s="8">
        <v>9.0000000000000011E-2</v>
      </c>
      <c r="W198" s="8">
        <v>6.8000000000000005E-2</v>
      </c>
      <c r="X198" s="10">
        <v>0.23760000000000003</v>
      </c>
      <c r="Y198" s="8">
        <v>0</v>
      </c>
      <c r="Z198" s="11">
        <v>52412</v>
      </c>
      <c r="AA198" s="12"/>
      <c r="AB198" s="22">
        <f t="shared" si="28"/>
        <v>232066.42500000002</v>
      </c>
      <c r="AC198" s="22"/>
      <c r="AD198" s="4">
        <v>0</v>
      </c>
      <c r="AE198" s="14">
        <f t="shared" si="29"/>
        <v>0</v>
      </c>
      <c r="AF198" s="13">
        <f t="shared" si="30"/>
        <v>37.130628000000009</v>
      </c>
      <c r="AG198" s="4">
        <v>160</v>
      </c>
      <c r="AH198" s="4">
        <v>270.15881839348083</v>
      </c>
      <c r="AI198" s="4">
        <v>859</v>
      </c>
      <c r="AJ198" s="4">
        <v>500.00000000000006</v>
      </c>
      <c r="AK198" s="13">
        <f t="shared" si="31"/>
        <v>116.03321250000003</v>
      </c>
      <c r="AL198" s="13">
        <f t="shared" si="32"/>
        <v>81.223248750000025</v>
      </c>
      <c r="AM198" s="20">
        <v>135079.40919674042</v>
      </c>
      <c r="AN198" s="20">
        <f t="shared" si="33"/>
        <v>43225.410942956936</v>
      </c>
      <c r="AO198" s="23">
        <f t="shared" si="34"/>
        <v>0.7</v>
      </c>
      <c r="AP198" s="24">
        <f t="shared" si="35"/>
        <v>2.1875</v>
      </c>
    </row>
    <row r="199" spans="1:42" x14ac:dyDescent="0.3">
      <c r="A199" t="s">
        <v>668</v>
      </c>
      <c r="B199" s="6" t="s">
        <v>437</v>
      </c>
      <c r="C199" s="15" t="s">
        <v>492</v>
      </c>
      <c r="D199" s="5" t="s">
        <v>550</v>
      </c>
      <c r="E199" s="19">
        <v>1</v>
      </c>
      <c r="F199" s="17"/>
      <c r="G199" s="17"/>
      <c r="H199" s="17"/>
      <c r="I199" s="17"/>
      <c r="J199" s="16">
        <v>334</v>
      </c>
      <c r="K199" s="5" t="s">
        <v>231</v>
      </c>
      <c r="L199" s="6" t="s">
        <v>232</v>
      </c>
      <c r="M199" s="104"/>
      <c r="N199" s="6" t="s">
        <v>235</v>
      </c>
      <c r="O199" s="5" t="s">
        <v>715</v>
      </c>
      <c r="P199" s="6" t="s">
        <v>27</v>
      </c>
      <c r="Q199" s="7">
        <v>2045</v>
      </c>
      <c r="R199" s="8">
        <v>0.7</v>
      </c>
      <c r="S199" s="8">
        <v>0.30000000000000004</v>
      </c>
      <c r="T199" s="9">
        <f t="shared" si="27"/>
        <v>1</v>
      </c>
      <c r="U199" s="8">
        <v>0.05</v>
      </c>
      <c r="V199" s="8">
        <v>9.0000000000000011E-2</v>
      </c>
      <c r="W199" s="8">
        <v>6.8000000000000005E-2</v>
      </c>
      <c r="X199" s="10">
        <v>0.23760000000000003</v>
      </c>
      <c r="Y199" s="8">
        <v>0</v>
      </c>
      <c r="Z199" s="11">
        <v>53143</v>
      </c>
      <c r="AA199" s="12"/>
      <c r="AB199" s="22">
        <f t="shared" si="28"/>
        <v>232066.42500000002</v>
      </c>
      <c r="AC199" s="22"/>
      <c r="AD199" s="4">
        <v>0</v>
      </c>
      <c r="AE199" s="14">
        <f t="shared" si="29"/>
        <v>0</v>
      </c>
      <c r="AF199" s="13">
        <f t="shared" si="30"/>
        <v>37.130628000000009</v>
      </c>
      <c r="AG199" s="4">
        <v>160</v>
      </c>
      <c r="AH199" s="4">
        <v>270.15881839348083</v>
      </c>
      <c r="AI199" s="4">
        <v>859</v>
      </c>
      <c r="AJ199" s="4">
        <v>500.00000000000006</v>
      </c>
      <c r="AK199" s="13">
        <f t="shared" si="31"/>
        <v>116.03321250000003</v>
      </c>
      <c r="AL199" s="13">
        <f t="shared" si="32"/>
        <v>81.223248750000025</v>
      </c>
      <c r="AM199" s="20">
        <v>135079.40919674042</v>
      </c>
      <c r="AN199" s="20">
        <f t="shared" si="33"/>
        <v>43225.410942956936</v>
      </c>
      <c r="AO199" s="23">
        <f t="shared" si="34"/>
        <v>0.7</v>
      </c>
      <c r="AP199" s="24">
        <f t="shared" si="35"/>
        <v>2.1875</v>
      </c>
    </row>
    <row r="200" spans="1:42" x14ac:dyDescent="0.3">
      <c r="A200" t="s">
        <v>668</v>
      </c>
      <c r="B200" s="6" t="s">
        <v>438</v>
      </c>
      <c r="C200" s="15" t="s">
        <v>492</v>
      </c>
      <c r="D200" s="5" t="s">
        <v>550</v>
      </c>
      <c r="E200" s="19">
        <v>1</v>
      </c>
      <c r="F200" s="17"/>
      <c r="G200" s="17"/>
      <c r="H200" s="17"/>
      <c r="I200" s="17"/>
      <c r="J200" s="16">
        <v>335</v>
      </c>
      <c r="K200" s="5" t="s">
        <v>231</v>
      </c>
      <c r="L200" s="6" t="s">
        <v>232</v>
      </c>
      <c r="M200" s="104"/>
      <c r="N200" s="6" t="s">
        <v>236</v>
      </c>
      <c r="O200" s="5" t="s">
        <v>715</v>
      </c>
      <c r="P200" s="6" t="s">
        <v>27</v>
      </c>
      <c r="Q200" s="7">
        <v>2047</v>
      </c>
      <c r="R200" s="8">
        <v>0.7</v>
      </c>
      <c r="S200" s="8">
        <v>0.30000000000000004</v>
      </c>
      <c r="T200" s="9">
        <f t="shared" si="27"/>
        <v>1</v>
      </c>
      <c r="U200" s="8">
        <v>0.05</v>
      </c>
      <c r="V200" s="8">
        <v>9.0000000000000011E-2</v>
      </c>
      <c r="W200" s="8">
        <v>6.8000000000000005E-2</v>
      </c>
      <c r="X200" s="10">
        <v>0.23760000000000003</v>
      </c>
      <c r="Y200" s="8">
        <v>0</v>
      </c>
      <c r="Z200" s="11">
        <v>53873</v>
      </c>
      <c r="AA200" s="12"/>
      <c r="AB200" s="22">
        <f t="shared" si="28"/>
        <v>232066.42500000002</v>
      </c>
      <c r="AC200" s="22"/>
      <c r="AD200" s="4">
        <v>0</v>
      </c>
      <c r="AE200" s="14">
        <f t="shared" si="29"/>
        <v>0</v>
      </c>
      <c r="AF200" s="13">
        <f t="shared" si="30"/>
        <v>37.130628000000009</v>
      </c>
      <c r="AG200" s="4">
        <v>160</v>
      </c>
      <c r="AH200" s="4">
        <v>270.15881839348083</v>
      </c>
      <c r="AI200" s="4">
        <v>859</v>
      </c>
      <c r="AJ200" s="4">
        <v>500.00000000000006</v>
      </c>
      <c r="AK200" s="13">
        <f t="shared" si="31"/>
        <v>116.03321250000003</v>
      </c>
      <c r="AL200" s="13">
        <f t="shared" si="32"/>
        <v>81.223248750000025</v>
      </c>
      <c r="AM200" s="20">
        <v>135079.40919674042</v>
      </c>
      <c r="AN200" s="20">
        <f t="shared" si="33"/>
        <v>43225.410942956936</v>
      </c>
      <c r="AO200" s="23">
        <f t="shared" si="34"/>
        <v>0.7</v>
      </c>
      <c r="AP200" s="24">
        <f t="shared" si="35"/>
        <v>2.1875</v>
      </c>
    </row>
    <row r="201" spans="1:42" x14ac:dyDescent="0.3">
      <c r="A201" t="s">
        <v>669</v>
      </c>
      <c r="B201" s="6" t="s">
        <v>439</v>
      </c>
      <c r="C201" s="15" t="s">
        <v>491</v>
      </c>
      <c r="D201" s="5" t="s">
        <v>550</v>
      </c>
      <c r="E201" s="19">
        <v>1</v>
      </c>
      <c r="F201" s="17"/>
      <c r="G201" s="17"/>
      <c r="H201" s="17"/>
      <c r="I201" s="17"/>
      <c r="J201" s="16">
        <v>336</v>
      </c>
      <c r="K201" s="5" t="s">
        <v>231</v>
      </c>
      <c r="L201" s="6" t="s">
        <v>237</v>
      </c>
      <c r="M201" s="104"/>
      <c r="N201" s="6" t="s">
        <v>138</v>
      </c>
      <c r="O201" s="5" t="s">
        <v>714</v>
      </c>
      <c r="P201" s="6" t="s">
        <v>27</v>
      </c>
      <c r="Q201" s="7">
        <v>2026</v>
      </c>
      <c r="R201" s="8">
        <v>0.81</v>
      </c>
      <c r="S201" s="8">
        <v>0.18999999999999995</v>
      </c>
      <c r="T201" s="9">
        <f t="shared" si="27"/>
        <v>1</v>
      </c>
      <c r="U201" s="8">
        <v>0.05</v>
      </c>
      <c r="V201" s="8">
        <v>0</v>
      </c>
      <c r="W201" s="8">
        <v>6.8000000000000005E-2</v>
      </c>
      <c r="X201" s="10">
        <v>0.16757999999999995</v>
      </c>
      <c r="Y201" s="8">
        <v>0</v>
      </c>
      <c r="Z201" s="11">
        <v>46295</v>
      </c>
      <c r="AA201" s="12"/>
      <c r="AB201" s="76">
        <v>169349</v>
      </c>
      <c r="AC201" s="76"/>
      <c r="AD201" s="4">
        <v>14.723312189939634</v>
      </c>
      <c r="AE201" s="14">
        <f t="shared" si="29"/>
        <v>0.19337158116547981</v>
      </c>
      <c r="AF201" s="13">
        <f t="shared" si="30"/>
        <v>22.503599999999999</v>
      </c>
      <c r="AG201" s="4">
        <v>133</v>
      </c>
      <c r="AH201" s="75">
        <v>235</v>
      </c>
      <c r="AI201" s="4">
        <v>720</v>
      </c>
      <c r="AJ201" s="26">
        <v>450</v>
      </c>
      <c r="AK201" s="13">
        <f t="shared" si="31"/>
        <v>76.14</v>
      </c>
      <c r="AL201" s="13">
        <f t="shared" si="32"/>
        <v>61.673400000000008</v>
      </c>
      <c r="AM201" s="27">
        <v>90000</v>
      </c>
      <c r="AN201" s="20">
        <f t="shared" si="33"/>
        <v>31255</v>
      </c>
      <c r="AO201" s="23">
        <f t="shared" si="34"/>
        <v>0.81</v>
      </c>
      <c r="AP201" s="24">
        <f t="shared" si="35"/>
        <v>1.6566885721095854</v>
      </c>
    </row>
    <row r="202" spans="1:42" x14ac:dyDescent="0.3">
      <c r="A202" t="s">
        <v>669</v>
      </c>
      <c r="B202" s="6" t="s">
        <v>440</v>
      </c>
      <c r="C202" s="15" t="s">
        <v>491</v>
      </c>
      <c r="D202" s="5" t="s">
        <v>550</v>
      </c>
      <c r="E202" s="19">
        <v>1</v>
      </c>
      <c r="F202" s="17"/>
      <c r="G202" s="17"/>
      <c r="H202" s="17"/>
      <c r="I202" s="17"/>
      <c r="J202" s="16">
        <v>337</v>
      </c>
      <c r="K202" s="5" t="s">
        <v>231</v>
      </c>
      <c r="L202" s="6" t="s">
        <v>237</v>
      </c>
      <c r="M202" s="104"/>
      <c r="N202" s="6" t="s">
        <v>238</v>
      </c>
      <c r="O202" s="5" t="s">
        <v>714</v>
      </c>
      <c r="P202" s="6" t="s">
        <v>27</v>
      </c>
      <c r="Q202" s="7">
        <v>2027</v>
      </c>
      <c r="R202" s="8">
        <v>0.81</v>
      </c>
      <c r="S202" s="8">
        <v>0.18999999999999995</v>
      </c>
      <c r="T202" s="9">
        <f t="shared" si="27"/>
        <v>1</v>
      </c>
      <c r="U202" s="8">
        <v>0.05</v>
      </c>
      <c r="V202" s="8">
        <v>0</v>
      </c>
      <c r="W202" s="8">
        <v>6.8000000000000005E-2</v>
      </c>
      <c r="X202" s="10">
        <v>0.16757999999999995</v>
      </c>
      <c r="Y202" s="8">
        <v>0</v>
      </c>
      <c r="Z202" s="11">
        <v>46660</v>
      </c>
      <c r="AA202" s="12"/>
      <c r="AB202" s="76">
        <v>169349</v>
      </c>
      <c r="AC202" s="76"/>
      <c r="AD202" s="4">
        <v>15.269547072186397</v>
      </c>
      <c r="AE202" s="14">
        <f t="shared" si="29"/>
        <v>0.19997363821621886</v>
      </c>
      <c r="AF202" s="13">
        <f t="shared" si="30"/>
        <v>22.567972000000001</v>
      </c>
      <c r="AG202" s="4">
        <v>133</v>
      </c>
      <c r="AH202" s="75">
        <v>236</v>
      </c>
      <c r="AI202" s="4">
        <v>719</v>
      </c>
      <c r="AJ202" s="26">
        <v>450</v>
      </c>
      <c r="AK202" s="13">
        <f t="shared" si="31"/>
        <v>76.357799999999997</v>
      </c>
      <c r="AL202" s="13">
        <f t="shared" si="32"/>
        <v>61.849817999999999</v>
      </c>
      <c r="AM202" s="27">
        <v>90000</v>
      </c>
      <c r="AN202" s="20">
        <f t="shared" si="33"/>
        <v>31388</v>
      </c>
      <c r="AO202" s="23">
        <f t="shared" si="34"/>
        <v>0.81</v>
      </c>
      <c r="AP202" s="24">
        <f t="shared" si="35"/>
        <v>1.6346161037144891</v>
      </c>
    </row>
    <row r="203" spans="1:42" x14ac:dyDescent="0.3">
      <c r="A203" t="s">
        <v>670</v>
      </c>
      <c r="B203" s="6" t="s">
        <v>441</v>
      </c>
      <c r="C203" s="15" t="s">
        <v>491</v>
      </c>
      <c r="D203" s="5" t="s">
        <v>550</v>
      </c>
      <c r="E203" s="19">
        <v>1</v>
      </c>
      <c r="F203" s="17"/>
      <c r="G203" s="17"/>
      <c r="H203" s="17"/>
      <c r="I203" s="17"/>
      <c r="J203" s="16">
        <v>338</v>
      </c>
      <c r="K203" s="5" t="s">
        <v>231</v>
      </c>
      <c r="L203" s="6" t="s">
        <v>237</v>
      </c>
      <c r="M203" s="104"/>
      <c r="N203" s="6" t="s">
        <v>50</v>
      </c>
      <c r="O203" s="5" t="s">
        <v>714</v>
      </c>
      <c r="P203" s="6" t="s">
        <v>27</v>
      </c>
      <c r="Q203" s="7">
        <v>2029</v>
      </c>
      <c r="R203" s="8">
        <v>0.81</v>
      </c>
      <c r="S203" s="8">
        <v>0.18999999999999995</v>
      </c>
      <c r="T203" s="9">
        <f t="shared" si="27"/>
        <v>1</v>
      </c>
      <c r="U203" s="8">
        <v>0.05</v>
      </c>
      <c r="V203" s="8">
        <v>0</v>
      </c>
      <c r="W203" s="8">
        <v>6.8000000000000005E-2</v>
      </c>
      <c r="X203" s="10">
        <v>0.16757999999999995</v>
      </c>
      <c r="Y203" s="8">
        <v>0</v>
      </c>
      <c r="Z203" s="11">
        <v>47391</v>
      </c>
      <c r="AA203" s="12"/>
      <c r="AB203" s="76">
        <v>240277</v>
      </c>
      <c r="AC203" s="76"/>
      <c r="AD203" s="4">
        <v>23.207926422221838</v>
      </c>
      <c r="AE203" s="14">
        <f t="shared" si="29"/>
        <v>0.21417429330215798</v>
      </c>
      <c r="AF203" s="13">
        <f t="shared" si="30"/>
        <v>32.026400000000002</v>
      </c>
      <c r="AG203" s="4">
        <v>133</v>
      </c>
      <c r="AH203" s="75">
        <v>215</v>
      </c>
      <c r="AI203" s="4">
        <v>1120</v>
      </c>
      <c r="AJ203" s="26">
        <v>450</v>
      </c>
      <c r="AK203" s="13">
        <f t="shared" si="31"/>
        <v>108.36</v>
      </c>
      <c r="AL203" s="13">
        <f t="shared" si="32"/>
        <v>87.771600000000007</v>
      </c>
      <c r="AM203" s="27">
        <v>90000</v>
      </c>
      <c r="AN203" s="20">
        <f t="shared" si="33"/>
        <v>28595</v>
      </c>
      <c r="AO203" s="23">
        <f t="shared" si="34"/>
        <v>0.81</v>
      </c>
      <c r="AP203" s="24">
        <f t="shared" si="35"/>
        <v>1.5890770411330262</v>
      </c>
    </row>
    <row r="204" spans="1:42" x14ac:dyDescent="0.3">
      <c r="A204" t="s">
        <v>671</v>
      </c>
      <c r="B204" s="6" t="s">
        <v>442</v>
      </c>
      <c r="C204" s="15" t="s">
        <v>491</v>
      </c>
      <c r="D204" s="5" t="s">
        <v>550</v>
      </c>
      <c r="E204" s="19">
        <v>1</v>
      </c>
      <c r="F204" s="17"/>
      <c r="G204" s="17"/>
      <c r="H204" s="17"/>
      <c r="I204" s="17"/>
      <c r="J204" s="16">
        <v>339</v>
      </c>
      <c r="K204" s="5" t="s">
        <v>231</v>
      </c>
      <c r="L204" s="6" t="s">
        <v>237</v>
      </c>
      <c r="M204" s="104"/>
      <c r="N204" s="6" t="s">
        <v>51</v>
      </c>
      <c r="O204" s="5" t="s">
        <v>715</v>
      </c>
      <c r="P204" s="6" t="s">
        <v>27</v>
      </c>
      <c r="Q204" s="7">
        <v>2031</v>
      </c>
      <c r="R204" s="8">
        <v>0.81</v>
      </c>
      <c r="S204" s="8">
        <v>0.18999999999999995</v>
      </c>
      <c r="T204" s="9">
        <f t="shared" si="27"/>
        <v>1</v>
      </c>
      <c r="U204" s="8">
        <v>0.05</v>
      </c>
      <c r="V204" s="8">
        <v>0</v>
      </c>
      <c r="W204" s="8">
        <v>6.8000000000000005E-2</v>
      </c>
      <c r="X204" s="10">
        <v>0.16757999999999995</v>
      </c>
      <c r="Y204" s="8">
        <v>0</v>
      </c>
      <c r="Z204" s="11">
        <v>48121</v>
      </c>
      <c r="AA204" s="12"/>
      <c r="AB204" s="28">
        <f>AH204*AI204</f>
        <v>296270</v>
      </c>
      <c r="AC204" s="28"/>
      <c r="AD204" s="4">
        <v>30.654332545237896</v>
      </c>
      <c r="AE204" s="14">
        <f t="shared" si="29"/>
        <v>0.21679040183898377</v>
      </c>
      <c r="AF204" s="13">
        <f t="shared" si="30"/>
        <v>39.403910000000003</v>
      </c>
      <c r="AG204" s="4">
        <v>133</v>
      </c>
      <c r="AH204" s="26">
        <v>215</v>
      </c>
      <c r="AI204" s="26">
        <v>1378</v>
      </c>
      <c r="AJ204" s="26">
        <v>477.27</v>
      </c>
      <c r="AK204" s="13">
        <f t="shared" si="31"/>
        <v>141.40078289999997</v>
      </c>
      <c r="AL204" s="13">
        <f t="shared" si="32"/>
        <v>114.53463414899998</v>
      </c>
      <c r="AM204" s="27">
        <v>104999.4</v>
      </c>
      <c r="AN204" s="20">
        <f t="shared" si="33"/>
        <v>28595</v>
      </c>
      <c r="AO204" s="23">
        <f t="shared" si="34"/>
        <v>0.81</v>
      </c>
      <c r="AP204" s="24">
        <f t="shared" si="35"/>
        <v>1.6348488056211639</v>
      </c>
    </row>
    <row r="205" spans="1:42" x14ac:dyDescent="0.3">
      <c r="A205" t="s">
        <v>672</v>
      </c>
      <c r="B205" s="6" t="s">
        <v>443</v>
      </c>
      <c r="C205" s="15" t="s">
        <v>490</v>
      </c>
      <c r="D205" s="5" t="s">
        <v>550</v>
      </c>
      <c r="E205" s="19">
        <v>1</v>
      </c>
      <c r="F205" s="17"/>
      <c r="G205" s="17"/>
      <c r="H205" s="17"/>
      <c r="I205" s="17"/>
      <c r="J205" s="16">
        <v>340</v>
      </c>
      <c r="K205" s="5" t="s">
        <v>231</v>
      </c>
      <c r="L205" s="6" t="s">
        <v>239</v>
      </c>
      <c r="M205" s="104"/>
      <c r="N205" s="6" t="s">
        <v>138</v>
      </c>
      <c r="O205" s="5" t="s">
        <v>714</v>
      </c>
      <c r="P205" s="6" t="s">
        <v>27</v>
      </c>
      <c r="Q205" s="7">
        <v>2028</v>
      </c>
      <c r="R205" s="8">
        <v>0.7</v>
      </c>
      <c r="S205" s="8">
        <v>0.30000000000000004</v>
      </c>
      <c r="T205" s="9">
        <f t="shared" si="27"/>
        <v>1</v>
      </c>
      <c r="U205" s="8">
        <v>0.05</v>
      </c>
      <c r="V205" s="8">
        <v>9.0000000000000011E-2</v>
      </c>
      <c r="W205" s="8">
        <v>6.8000000000000005E-2</v>
      </c>
      <c r="X205" s="10">
        <v>0.23760000000000003</v>
      </c>
      <c r="Y205" s="8">
        <v>0</v>
      </c>
      <c r="Z205" s="11">
        <v>47118</v>
      </c>
      <c r="AA205" s="12"/>
      <c r="AB205" s="22">
        <f t="shared" si="28"/>
        <v>280040.63040000002</v>
      </c>
      <c r="AC205" s="22"/>
      <c r="AD205" s="4">
        <v>32.790842974172385</v>
      </c>
      <c r="AE205" s="14">
        <f t="shared" si="29"/>
        <v>0.2341863245153756</v>
      </c>
      <c r="AF205" s="13">
        <f t="shared" si="30"/>
        <v>37.245403843199995</v>
      </c>
      <c r="AG205" s="4">
        <v>133</v>
      </c>
      <c r="AH205" s="75">
        <v>324.12110000000001</v>
      </c>
      <c r="AI205" s="75">
        <v>864</v>
      </c>
      <c r="AJ205" s="4">
        <v>500</v>
      </c>
      <c r="AK205" s="13">
        <f t="shared" si="31"/>
        <v>140.02031520000003</v>
      </c>
      <c r="AL205" s="13">
        <f t="shared" si="32"/>
        <v>98.014220640000019</v>
      </c>
      <c r="AM205" s="20">
        <v>134980.96132897603</v>
      </c>
      <c r="AN205" s="20">
        <f t="shared" si="33"/>
        <v>43108.106299999999</v>
      </c>
      <c r="AO205" s="23">
        <f t="shared" si="34"/>
        <v>0.7</v>
      </c>
      <c r="AP205" s="24">
        <f t="shared" si="35"/>
        <v>1.3994784856987472</v>
      </c>
    </row>
    <row r="206" spans="1:42" x14ac:dyDescent="0.3">
      <c r="A206" t="s">
        <v>672</v>
      </c>
      <c r="B206" s="6" t="s">
        <v>444</v>
      </c>
      <c r="C206" s="15" t="s">
        <v>490</v>
      </c>
      <c r="D206" s="5" t="s">
        <v>550</v>
      </c>
      <c r="E206" s="19">
        <v>1</v>
      </c>
      <c r="F206" s="17"/>
      <c r="G206" s="17"/>
      <c r="H206" s="17"/>
      <c r="I206" s="17"/>
      <c r="J206" s="16">
        <v>341</v>
      </c>
      <c r="K206" s="5" t="s">
        <v>231</v>
      </c>
      <c r="L206" s="6" t="s">
        <v>239</v>
      </c>
      <c r="M206" s="104"/>
      <c r="N206" s="6" t="s">
        <v>238</v>
      </c>
      <c r="O206" s="5" t="s">
        <v>714</v>
      </c>
      <c r="P206" s="6" t="s">
        <v>27</v>
      </c>
      <c r="Q206" s="7">
        <v>2029</v>
      </c>
      <c r="R206" s="8">
        <v>0.7</v>
      </c>
      <c r="S206" s="8">
        <v>0.30000000000000004</v>
      </c>
      <c r="T206" s="9">
        <f t="shared" si="27"/>
        <v>1</v>
      </c>
      <c r="U206" s="8">
        <v>0.05</v>
      </c>
      <c r="V206" s="8">
        <v>9.0000000000000011E-2</v>
      </c>
      <c r="W206" s="8">
        <v>6.8000000000000005E-2</v>
      </c>
      <c r="X206" s="10">
        <v>0.23760000000000003</v>
      </c>
      <c r="Y206" s="8">
        <v>0</v>
      </c>
      <c r="Z206" s="11">
        <v>47483</v>
      </c>
      <c r="AA206" s="12"/>
      <c r="AB206" s="22">
        <f t="shared" si="28"/>
        <v>279716.50930000003</v>
      </c>
      <c r="AC206" s="22"/>
      <c r="AD206" s="4">
        <v>33.938522478268411</v>
      </c>
      <c r="AE206" s="14">
        <f t="shared" si="29"/>
        <v>0.24266370664499365</v>
      </c>
      <c r="AF206" s="13">
        <f t="shared" si="30"/>
        <v>37.202295736899998</v>
      </c>
      <c r="AG206" s="4">
        <v>133</v>
      </c>
      <c r="AH206" s="75">
        <v>324.12110000000001</v>
      </c>
      <c r="AI206" s="75">
        <v>863</v>
      </c>
      <c r="AJ206" s="4">
        <v>499.99999999999994</v>
      </c>
      <c r="AK206" s="13">
        <f t="shared" si="31"/>
        <v>139.85825464999996</v>
      </c>
      <c r="AL206" s="13">
        <f t="shared" si="32"/>
        <v>97.900778254999963</v>
      </c>
      <c r="AM206" s="20">
        <v>135128.15976008723</v>
      </c>
      <c r="AN206" s="20">
        <f t="shared" si="33"/>
        <v>43108.106299999999</v>
      </c>
      <c r="AO206" s="23">
        <f t="shared" si="34"/>
        <v>0.7</v>
      </c>
      <c r="AP206" s="24">
        <f t="shared" si="35"/>
        <v>1.3761547970799959</v>
      </c>
    </row>
    <row r="207" spans="1:42" x14ac:dyDescent="0.3">
      <c r="A207" t="s">
        <v>673</v>
      </c>
      <c r="B207" s="6" t="s">
        <v>445</v>
      </c>
      <c r="C207" s="15" t="s">
        <v>490</v>
      </c>
      <c r="D207" s="5" t="s">
        <v>550</v>
      </c>
      <c r="E207" s="19">
        <v>1</v>
      </c>
      <c r="F207" s="17"/>
      <c r="G207" s="17"/>
      <c r="H207" s="17"/>
      <c r="I207" s="17"/>
      <c r="J207" s="16">
        <v>342</v>
      </c>
      <c r="K207" s="5" t="s">
        <v>231</v>
      </c>
      <c r="L207" s="6" t="s">
        <v>239</v>
      </c>
      <c r="M207" s="104"/>
      <c r="N207" s="6" t="s">
        <v>50</v>
      </c>
      <c r="O207" s="5" t="s">
        <v>715</v>
      </c>
      <c r="P207" s="6" t="s">
        <v>27</v>
      </c>
      <c r="Q207" s="7">
        <v>2030</v>
      </c>
      <c r="R207" s="8">
        <v>0.7</v>
      </c>
      <c r="S207" s="8">
        <v>0.30000000000000004</v>
      </c>
      <c r="T207" s="9">
        <f t="shared" si="27"/>
        <v>1</v>
      </c>
      <c r="U207" s="8">
        <v>0.05</v>
      </c>
      <c r="V207" s="8">
        <v>9.0000000000000011E-2</v>
      </c>
      <c r="W207" s="8">
        <v>6.8000000000000005E-2</v>
      </c>
      <c r="X207" s="10">
        <v>0.23760000000000003</v>
      </c>
      <c r="Y207" s="8">
        <v>0</v>
      </c>
      <c r="Z207" s="11">
        <v>47848</v>
      </c>
      <c r="AA207" s="12"/>
      <c r="AB207" s="22">
        <f t="shared" si="28"/>
        <v>240799.2486207328</v>
      </c>
      <c r="AC207" s="22"/>
      <c r="AD207" s="4">
        <v>34.130544340210463</v>
      </c>
      <c r="AE207" s="14">
        <f t="shared" si="29"/>
        <v>0.28347716644221971</v>
      </c>
      <c r="AF207" s="13">
        <f t="shared" si="30"/>
        <v>32.026300066557461</v>
      </c>
      <c r="AG207" s="4">
        <v>133</v>
      </c>
      <c r="AH207" s="4">
        <v>264.905664049211</v>
      </c>
      <c r="AI207" s="4">
        <v>909</v>
      </c>
      <c r="AJ207" s="4">
        <v>500.00000000000006</v>
      </c>
      <c r="AK207" s="13">
        <f t="shared" si="31"/>
        <v>120.39962431036641</v>
      </c>
      <c r="AL207" s="13">
        <f t="shared" si="32"/>
        <v>84.27973701725648</v>
      </c>
      <c r="AM207" s="20">
        <v>132452.83202460551</v>
      </c>
      <c r="AN207" s="20">
        <f t="shared" si="33"/>
        <v>35232.453318545064</v>
      </c>
      <c r="AO207" s="23">
        <f t="shared" si="34"/>
        <v>0.7</v>
      </c>
      <c r="AP207" s="24">
        <f t="shared" si="35"/>
        <v>1.2739382867033264</v>
      </c>
    </row>
    <row r="208" spans="1:42" x14ac:dyDescent="0.3">
      <c r="A208" t="s">
        <v>673</v>
      </c>
      <c r="B208" s="6" t="s">
        <v>446</v>
      </c>
      <c r="C208" s="15" t="s">
        <v>490</v>
      </c>
      <c r="D208" s="5" t="s">
        <v>550</v>
      </c>
      <c r="E208" s="19">
        <v>1</v>
      </c>
      <c r="F208" s="17"/>
      <c r="G208" s="17"/>
      <c r="H208" s="17"/>
      <c r="I208" s="17"/>
      <c r="J208" s="16">
        <v>343</v>
      </c>
      <c r="K208" s="5" t="s">
        <v>231</v>
      </c>
      <c r="L208" s="6" t="s">
        <v>239</v>
      </c>
      <c r="M208" s="104"/>
      <c r="N208" s="6" t="s">
        <v>233</v>
      </c>
      <c r="O208" s="5" t="s">
        <v>715</v>
      </c>
      <c r="P208" s="6" t="s">
        <v>27</v>
      </c>
      <c r="Q208" s="7">
        <v>2031</v>
      </c>
      <c r="R208" s="8">
        <v>0.7</v>
      </c>
      <c r="S208" s="8">
        <v>0.30000000000000004</v>
      </c>
      <c r="T208" s="9">
        <f t="shared" si="27"/>
        <v>1</v>
      </c>
      <c r="U208" s="8">
        <v>0.05</v>
      </c>
      <c r="V208" s="8">
        <v>9.0000000000000011E-2</v>
      </c>
      <c r="W208" s="8">
        <v>6.8000000000000005E-2</v>
      </c>
      <c r="X208" s="10">
        <v>0.23760000000000003</v>
      </c>
      <c r="Y208" s="8">
        <v>0</v>
      </c>
      <c r="Z208" s="11">
        <v>48213</v>
      </c>
      <c r="AA208" s="12"/>
      <c r="AB208" s="22">
        <f t="shared" si="28"/>
        <v>240799.24862073277</v>
      </c>
      <c r="AC208" s="22"/>
      <c r="AD208" s="4">
        <v>35.325113392117835</v>
      </c>
      <c r="AE208" s="14">
        <f t="shared" si="29"/>
        <v>0.29339886726769748</v>
      </c>
      <c r="AF208" s="13">
        <f t="shared" si="30"/>
        <v>32.026300066557461</v>
      </c>
      <c r="AG208" s="4">
        <v>133</v>
      </c>
      <c r="AH208" s="4">
        <v>265.19741037525637</v>
      </c>
      <c r="AI208" s="4">
        <v>908</v>
      </c>
      <c r="AJ208" s="4">
        <v>500</v>
      </c>
      <c r="AK208" s="13">
        <f t="shared" si="31"/>
        <v>120.39962431036639</v>
      </c>
      <c r="AL208" s="13">
        <f t="shared" si="32"/>
        <v>84.279737017256465</v>
      </c>
      <c r="AM208" s="20">
        <v>132598.70518762819</v>
      </c>
      <c r="AN208" s="20">
        <f t="shared" si="33"/>
        <v>35271.255579909099</v>
      </c>
      <c r="AO208" s="23">
        <f t="shared" si="34"/>
        <v>0.7</v>
      </c>
      <c r="AP208" s="24">
        <f t="shared" si="35"/>
        <v>1.2513432560545719</v>
      </c>
    </row>
    <row r="209" spans="1:42" x14ac:dyDescent="0.3">
      <c r="A209" t="s">
        <v>673</v>
      </c>
      <c r="B209" s="6" t="s">
        <v>447</v>
      </c>
      <c r="C209" s="15" t="s">
        <v>490</v>
      </c>
      <c r="D209" s="5" t="s">
        <v>550</v>
      </c>
      <c r="E209" s="19">
        <v>1</v>
      </c>
      <c r="F209" s="17"/>
      <c r="G209" s="17"/>
      <c r="H209" s="17"/>
      <c r="I209" s="17"/>
      <c r="J209" s="16">
        <v>344</v>
      </c>
      <c r="K209" s="5" t="s">
        <v>231</v>
      </c>
      <c r="L209" s="6" t="s">
        <v>239</v>
      </c>
      <c r="M209" s="104"/>
      <c r="N209" s="6" t="s">
        <v>51</v>
      </c>
      <c r="O209" s="5" t="s">
        <v>715</v>
      </c>
      <c r="P209" s="6" t="s">
        <v>27</v>
      </c>
      <c r="Q209" s="7">
        <v>2032</v>
      </c>
      <c r="R209" s="8">
        <v>0.7</v>
      </c>
      <c r="S209" s="8">
        <v>0.30000000000000004</v>
      </c>
      <c r="T209" s="9">
        <f t="shared" si="27"/>
        <v>1</v>
      </c>
      <c r="U209" s="8">
        <v>0.05</v>
      </c>
      <c r="V209" s="8">
        <v>9.0000000000000011E-2</v>
      </c>
      <c r="W209" s="8">
        <v>6.8000000000000005E-2</v>
      </c>
      <c r="X209" s="10">
        <v>0.23760000000000003</v>
      </c>
      <c r="Y209" s="8">
        <v>0</v>
      </c>
      <c r="Z209" s="11">
        <v>48579</v>
      </c>
      <c r="AA209" s="12"/>
      <c r="AB209" s="22">
        <f t="shared" si="28"/>
        <v>365843.31</v>
      </c>
      <c r="AC209" s="22"/>
      <c r="AD209" s="4">
        <v>55.547421598883183</v>
      </c>
      <c r="AE209" s="14">
        <f t="shared" si="29"/>
        <v>0.3036678276220669</v>
      </c>
      <c r="AF209" s="13">
        <f t="shared" si="30"/>
        <v>48.657160229999995</v>
      </c>
      <c r="AG209" s="4">
        <v>133</v>
      </c>
      <c r="AH209" s="4">
        <v>263.76590483056958</v>
      </c>
      <c r="AI209" s="4">
        <v>1387</v>
      </c>
      <c r="AJ209" s="4">
        <v>500</v>
      </c>
      <c r="AK209" s="13">
        <f t="shared" si="31"/>
        <v>182.92165499999999</v>
      </c>
      <c r="AL209" s="13">
        <f t="shared" si="32"/>
        <v>128.04515849999999</v>
      </c>
      <c r="AM209" s="20">
        <v>131882.95241528479</v>
      </c>
      <c r="AN209" s="20">
        <f t="shared" si="33"/>
        <v>35080.865342465753</v>
      </c>
      <c r="AO209" s="23">
        <f t="shared" si="34"/>
        <v>0.7</v>
      </c>
      <c r="AP209" s="24">
        <f t="shared" si="35"/>
        <v>1.2287862611479596</v>
      </c>
    </row>
    <row r="210" spans="1:42" x14ac:dyDescent="0.3">
      <c r="A210" t="s">
        <v>673</v>
      </c>
      <c r="B210" s="6" t="s">
        <v>448</v>
      </c>
      <c r="C210" s="15" t="s">
        <v>490</v>
      </c>
      <c r="D210" s="5" t="s">
        <v>550</v>
      </c>
      <c r="E210" s="19">
        <v>1</v>
      </c>
      <c r="F210" s="17"/>
      <c r="G210" s="17"/>
      <c r="H210" s="17"/>
      <c r="I210" s="17"/>
      <c r="J210" s="16">
        <v>345</v>
      </c>
      <c r="K210" s="5" t="s">
        <v>231</v>
      </c>
      <c r="L210" s="6" t="s">
        <v>239</v>
      </c>
      <c r="M210" s="104"/>
      <c r="N210" s="6" t="s">
        <v>52</v>
      </c>
      <c r="O210" s="5" t="s">
        <v>715</v>
      </c>
      <c r="P210" s="6" t="s">
        <v>27</v>
      </c>
      <c r="Q210" s="7">
        <v>2034</v>
      </c>
      <c r="R210" s="8">
        <v>0.7</v>
      </c>
      <c r="S210" s="8">
        <v>0.30000000000000004</v>
      </c>
      <c r="T210" s="9">
        <f t="shared" si="27"/>
        <v>1</v>
      </c>
      <c r="U210" s="8">
        <v>0.05</v>
      </c>
      <c r="V210" s="8">
        <v>9.0000000000000011E-2</v>
      </c>
      <c r="W210" s="8">
        <v>6.8000000000000005E-2</v>
      </c>
      <c r="X210" s="10">
        <v>0.23760000000000003</v>
      </c>
      <c r="Y210" s="8">
        <v>0</v>
      </c>
      <c r="Z210" s="11">
        <v>49309</v>
      </c>
      <c r="AA210" s="12"/>
      <c r="AB210" s="22">
        <f t="shared" si="28"/>
        <v>252026.52</v>
      </c>
      <c r="AC210" s="22"/>
      <c r="AD210" s="4">
        <v>40.991681081700733</v>
      </c>
      <c r="AE210" s="14">
        <f t="shared" si="29"/>
        <v>0.32529656864444845</v>
      </c>
      <c r="AF210" s="13">
        <f t="shared" si="30"/>
        <v>33.519527160000003</v>
      </c>
      <c r="AG210" s="4">
        <v>133</v>
      </c>
      <c r="AH210" s="4">
        <v>259.02006166495374</v>
      </c>
      <c r="AI210" s="4">
        <v>973</v>
      </c>
      <c r="AJ210" s="4">
        <v>500</v>
      </c>
      <c r="AK210" s="13">
        <f t="shared" si="31"/>
        <v>126.01326</v>
      </c>
      <c r="AL210" s="13">
        <f t="shared" si="32"/>
        <v>88.209282000000002</v>
      </c>
      <c r="AM210" s="20">
        <v>129510.03083247687</v>
      </c>
      <c r="AN210" s="20">
        <f t="shared" si="33"/>
        <v>34449.66820143885</v>
      </c>
      <c r="AO210" s="23">
        <f t="shared" si="34"/>
        <v>0.7</v>
      </c>
      <c r="AP210" s="24">
        <f t="shared" si="35"/>
        <v>1.1838391039622553</v>
      </c>
    </row>
    <row r="211" spans="1:42" x14ac:dyDescent="0.3">
      <c r="A211" t="s">
        <v>674</v>
      </c>
      <c r="B211" s="6" t="s">
        <v>449</v>
      </c>
      <c r="C211" s="15" t="s">
        <v>489</v>
      </c>
      <c r="D211" s="5" t="s">
        <v>550</v>
      </c>
      <c r="E211" s="19">
        <v>1</v>
      </c>
      <c r="F211" s="17"/>
      <c r="G211" s="17"/>
      <c r="H211" s="17"/>
      <c r="I211" s="17"/>
      <c r="J211" s="16">
        <v>346</v>
      </c>
      <c r="K211" s="5" t="s">
        <v>231</v>
      </c>
      <c r="L211" s="6" t="s">
        <v>240</v>
      </c>
      <c r="M211" s="104"/>
      <c r="N211" s="6" t="s">
        <v>100</v>
      </c>
      <c r="O211" s="5" t="s">
        <v>715</v>
      </c>
      <c r="P211" s="6" t="s">
        <v>80</v>
      </c>
      <c r="Q211" s="7">
        <v>2030</v>
      </c>
      <c r="R211" s="8">
        <v>0.7</v>
      </c>
      <c r="S211" s="8">
        <v>0.30000000000000004</v>
      </c>
      <c r="T211" s="9">
        <f t="shared" si="27"/>
        <v>1</v>
      </c>
      <c r="U211" s="8">
        <v>0.05</v>
      </c>
      <c r="V211" s="8">
        <v>9.0000000000000011E-2</v>
      </c>
      <c r="W211" s="8">
        <v>6.8000000000000005E-2</v>
      </c>
      <c r="X211" s="10">
        <v>0.23760000000000003</v>
      </c>
      <c r="Y211" s="8">
        <v>0</v>
      </c>
      <c r="Z211" s="11">
        <v>47664</v>
      </c>
      <c r="AA211" s="12"/>
      <c r="AB211" s="22">
        <f t="shared" si="28"/>
        <v>139700</v>
      </c>
      <c r="AC211" s="22"/>
      <c r="AD211" s="4">
        <v>47.522112182373725</v>
      </c>
      <c r="AE211" s="14">
        <f t="shared" si="29"/>
        <v>0.28347716644221982</v>
      </c>
      <c r="AF211" s="13">
        <f t="shared" si="30"/>
        <v>36.322000000000003</v>
      </c>
      <c r="AG211" s="4">
        <v>260</v>
      </c>
      <c r="AH211" s="4">
        <v>220</v>
      </c>
      <c r="AI211" s="4">
        <v>635</v>
      </c>
      <c r="AJ211" s="4">
        <v>1200</v>
      </c>
      <c r="AK211" s="13">
        <f t="shared" si="31"/>
        <v>167.64</v>
      </c>
      <c r="AL211" s="13">
        <f t="shared" si="32"/>
        <v>117.34799999999998</v>
      </c>
      <c r="AM211" s="20">
        <v>264000</v>
      </c>
      <c r="AN211" s="20">
        <f t="shared" si="33"/>
        <v>57200</v>
      </c>
      <c r="AO211" s="23">
        <f t="shared" si="34"/>
        <v>0.7</v>
      </c>
      <c r="AP211" s="24">
        <f t="shared" si="35"/>
        <v>1.3995973831143944</v>
      </c>
    </row>
    <row r="212" spans="1:42" x14ac:dyDescent="0.3">
      <c r="A212" t="s">
        <v>674</v>
      </c>
      <c r="B212" s="6" t="s">
        <v>450</v>
      </c>
      <c r="C212" s="15" t="s">
        <v>489</v>
      </c>
      <c r="D212" s="5" t="s">
        <v>550</v>
      </c>
      <c r="E212" s="19">
        <v>1</v>
      </c>
      <c r="F212" s="17"/>
      <c r="G212" s="17"/>
      <c r="H212" s="17"/>
      <c r="I212" s="17"/>
      <c r="J212" s="16">
        <v>347</v>
      </c>
      <c r="K212" s="5" t="s">
        <v>231</v>
      </c>
      <c r="L212" s="6" t="s">
        <v>240</v>
      </c>
      <c r="M212" s="104"/>
      <c r="N212" s="6" t="s">
        <v>241</v>
      </c>
      <c r="O212" s="5" t="s">
        <v>715</v>
      </c>
      <c r="P212" s="6" t="s">
        <v>80</v>
      </c>
      <c r="Q212" s="7">
        <v>2029</v>
      </c>
      <c r="R212" s="8">
        <v>0.7</v>
      </c>
      <c r="S212" s="8">
        <v>0.30000000000000004</v>
      </c>
      <c r="T212" s="9">
        <f t="shared" si="27"/>
        <v>1</v>
      </c>
      <c r="U212" s="8">
        <v>0.05</v>
      </c>
      <c r="V212" s="8">
        <v>9.0000000000000011E-2</v>
      </c>
      <c r="W212" s="8">
        <v>6.8000000000000005E-2</v>
      </c>
      <c r="X212" s="10">
        <v>0.23760000000000003</v>
      </c>
      <c r="Y212" s="8">
        <v>0</v>
      </c>
      <c r="Z212" s="11">
        <v>47299</v>
      </c>
      <c r="AA212" s="12"/>
      <c r="AB212" s="22">
        <f t="shared" si="28"/>
        <v>117260</v>
      </c>
      <c r="AC212" s="22"/>
      <c r="AD212" s="4">
        <v>38.539747869002547</v>
      </c>
      <c r="AE212" s="14">
        <f t="shared" si="29"/>
        <v>0.27389098206977763</v>
      </c>
      <c r="AF212" s="13">
        <f t="shared" si="30"/>
        <v>30.4876</v>
      </c>
      <c r="AG212" s="4">
        <v>260</v>
      </c>
      <c r="AH212" s="4">
        <v>220</v>
      </c>
      <c r="AI212" s="4">
        <v>533</v>
      </c>
      <c r="AJ212" s="4">
        <v>1200</v>
      </c>
      <c r="AK212" s="13">
        <f t="shared" si="31"/>
        <v>140.71199999999999</v>
      </c>
      <c r="AL212" s="13">
        <f t="shared" si="32"/>
        <v>98.49839999999999</v>
      </c>
      <c r="AM212" s="20">
        <v>264000</v>
      </c>
      <c r="AN212" s="20">
        <f t="shared" si="33"/>
        <v>57200</v>
      </c>
      <c r="AO212" s="23">
        <f t="shared" si="34"/>
        <v>0.7</v>
      </c>
      <c r="AP212" s="24">
        <f t="shared" si="35"/>
        <v>1.4269474786562346</v>
      </c>
    </row>
    <row r="213" spans="1:42" x14ac:dyDescent="0.3">
      <c r="A213" t="s">
        <v>675</v>
      </c>
      <c r="B213" s="6" t="s">
        <v>451</v>
      </c>
      <c r="C213" s="15" t="s">
        <v>489</v>
      </c>
      <c r="D213" s="5" t="s">
        <v>550</v>
      </c>
      <c r="E213" s="19">
        <v>1</v>
      </c>
      <c r="F213" s="17"/>
      <c r="G213" s="17"/>
      <c r="H213" s="17"/>
      <c r="I213" s="17"/>
      <c r="J213" s="16">
        <v>348</v>
      </c>
      <c r="K213" s="5" t="s">
        <v>231</v>
      </c>
      <c r="L213" s="6" t="s">
        <v>240</v>
      </c>
      <c r="M213" s="104"/>
      <c r="N213" s="6" t="s">
        <v>242</v>
      </c>
      <c r="O213" s="5" t="s">
        <v>715</v>
      </c>
      <c r="P213" s="6" t="s">
        <v>80</v>
      </c>
      <c r="Q213" s="7">
        <v>2028</v>
      </c>
      <c r="R213" s="8">
        <v>0.7</v>
      </c>
      <c r="S213" s="8">
        <v>0.30000000000000004</v>
      </c>
      <c r="T213" s="9">
        <f t="shared" si="27"/>
        <v>1</v>
      </c>
      <c r="U213" s="8">
        <v>0.05</v>
      </c>
      <c r="V213" s="8">
        <v>9.0000000000000011E-2</v>
      </c>
      <c r="W213" s="8">
        <v>6.8000000000000005E-2</v>
      </c>
      <c r="X213" s="10">
        <v>0.23760000000000003</v>
      </c>
      <c r="Y213" s="8">
        <v>0</v>
      </c>
      <c r="Z213" s="11">
        <v>46934</v>
      </c>
      <c r="AA213" s="12"/>
      <c r="AB213" s="22">
        <f t="shared" si="28"/>
        <v>120999.99999999999</v>
      </c>
      <c r="AC213" s="22"/>
      <c r="AD213" s="4">
        <v>38.42412618022388</v>
      </c>
      <c r="AE213" s="14">
        <f t="shared" si="29"/>
        <v>0.26462896818336007</v>
      </c>
      <c r="AF213" s="13">
        <f t="shared" si="30"/>
        <v>31.459999999999997</v>
      </c>
      <c r="AG213" s="4">
        <v>260</v>
      </c>
      <c r="AH213" s="4">
        <v>360.11904761904759</v>
      </c>
      <c r="AI213" s="4">
        <v>336</v>
      </c>
      <c r="AJ213" s="4">
        <v>1200</v>
      </c>
      <c r="AK213" s="13">
        <f t="shared" si="31"/>
        <v>145.19999999999999</v>
      </c>
      <c r="AL213" s="13">
        <f t="shared" si="32"/>
        <v>101.63999999999999</v>
      </c>
      <c r="AM213" s="20">
        <v>432142.8571428571</v>
      </c>
      <c r="AN213" s="20">
        <f t="shared" si="33"/>
        <v>93630.952380952367</v>
      </c>
      <c r="AO213" s="23">
        <f t="shared" si="34"/>
        <v>0.7</v>
      </c>
      <c r="AP213" s="24">
        <f t="shared" si="35"/>
        <v>1.4544075393871425</v>
      </c>
    </row>
    <row r="214" spans="1:42" x14ac:dyDescent="0.3">
      <c r="A214" t="s">
        <v>676</v>
      </c>
      <c r="B214" s="6" t="s">
        <v>452</v>
      </c>
      <c r="C214" s="15" t="s">
        <v>488</v>
      </c>
      <c r="D214" s="5" t="s">
        <v>550</v>
      </c>
      <c r="E214" s="19">
        <v>1</v>
      </c>
      <c r="F214" s="17"/>
      <c r="G214" s="17"/>
      <c r="H214" s="17"/>
      <c r="I214" s="17"/>
      <c r="J214" s="16">
        <v>349</v>
      </c>
      <c r="K214" s="5" t="s">
        <v>231</v>
      </c>
      <c r="L214" s="6" t="s">
        <v>243</v>
      </c>
      <c r="M214" s="104"/>
      <c r="N214" s="6" t="s">
        <v>129</v>
      </c>
      <c r="O214" s="5" t="s">
        <v>715</v>
      </c>
      <c r="P214" s="6" t="s">
        <v>80</v>
      </c>
      <c r="Q214" s="7">
        <v>2027</v>
      </c>
      <c r="R214" s="8">
        <v>0.65</v>
      </c>
      <c r="S214" s="8">
        <v>0.35</v>
      </c>
      <c r="T214" s="9">
        <f t="shared" si="27"/>
        <v>1</v>
      </c>
      <c r="U214" s="8">
        <v>0.05</v>
      </c>
      <c r="V214" s="8">
        <v>0</v>
      </c>
      <c r="W214" s="8">
        <v>6.8000000000000005E-2</v>
      </c>
      <c r="X214" s="10">
        <v>0.30869999999999997</v>
      </c>
      <c r="Y214" s="8">
        <v>0</v>
      </c>
      <c r="Z214" s="11">
        <v>46660</v>
      </c>
      <c r="AA214" s="12"/>
      <c r="AB214" s="28">
        <f>AH214*AI214</f>
        <v>300776</v>
      </c>
      <c r="AC214" s="28"/>
      <c r="AD214" s="4">
        <v>149.87240112687292</v>
      </c>
      <c r="AE214" s="14">
        <f t="shared" si="29"/>
        <v>0.33219051415199996</v>
      </c>
      <c r="AF214" s="13">
        <f t="shared" si="30"/>
        <v>96.248320000000007</v>
      </c>
      <c r="AG214" s="4">
        <v>320</v>
      </c>
      <c r="AH214" s="4">
        <v>360.21077844311378</v>
      </c>
      <c r="AI214" s="26">
        <v>835</v>
      </c>
      <c r="AJ214" s="26">
        <v>1500</v>
      </c>
      <c r="AK214" s="13">
        <f t="shared" si="31"/>
        <v>451.16399999999999</v>
      </c>
      <c r="AL214" s="13">
        <f t="shared" si="32"/>
        <v>293.25659999999999</v>
      </c>
      <c r="AM214" s="27">
        <v>720000</v>
      </c>
      <c r="AN214" s="20">
        <f t="shared" si="33"/>
        <v>115267.4491017964</v>
      </c>
      <c r="AO214" s="23">
        <f t="shared" si="34"/>
        <v>0.65</v>
      </c>
      <c r="AP214" s="24">
        <f t="shared" si="35"/>
        <v>1.1915152802141717</v>
      </c>
    </row>
    <row r="215" spans="1:42" x14ac:dyDescent="0.3">
      <c r="A215" t="s">
        <v>677</v>
      </c>
      <c r="B215" s="6" t="s">
        <v>453</v>
      </c>
      <c r="C215" s="15" t="s">
        <v>487</v>
      </c>
      <c r="D215" s="5" t="s">
        <v>550</v>
      </c>
      <c r="E215" s="19">
        <v>1</v>
      </c>
      <c r="F215" s="17"/>
      <c r="G215" s="17"/>
      <c r="H215" s="17"/>
      <c r="I215" s="17"/>
      <c r="J215" s="16">
        <v>350</v>
      </c>
      <c r="K215" s="5" t="s">
        <v>231</v>
      </c>
      <c r="L215" s="6" t="s">
        <v>244</v>
      </c>
      <c r="M215" s="104"/>
      <c r="N215" s="6" t="s">
        <v>245</v>
      </c>
      <c r="O215" s="5" t="s">
        <v>714</v>
      </c>
      <c r="P215" s="6" t="s">
        <v>27</v>
      </c>
      <c r="Q215" s="7">
        <v>2026</v>
      </c>
      <c r="R215" s="8">
        <v>0.7</v>
      </c>
      <c r="S215" s="8">
        <v>0.30000000000000004</v>
      </c>
      <c r="T215" s="9">
        <f t="shared" si="27"/>
        <v>1</v>
      </c>
      <c r="U215" s="8">
        <v>0.05</v>
      </c>
      <c r="V215" s="8">
        <v>9.0000000000000011E-2</v>
      </c>
      <c r="W215" s="8">
        <v>6.8000000000000005E-2</v>
      </c>
      <c r="X215" s="10">
        <v>0.23760000000000003</v>
      </c>
      <c r="Y215" s="8">
        <v>0</v>
      </c>
      <c r="Z215" s="11">
        <v>46387</v>
      </c>
      <c r="AA215" s="12"/>
      <c r="AB215" s="76">
        <v>226990.07</v>
      </c>
      <c r="AC215" s="76"/>
      <c r="AD215" s="4">
        <v>27.980349091200008</v>
      </c>
      <c r="AE215" s="14">
        <f t="shared" si="29"/>
        <v>0.25864526212108724</v>
      </c>
      <c r="AF215" s="13">
        <f t="shared" si="30"/>
        <v>30.146445</v>
      </c>
      <c r="AG215" s="4">
        <v>133</v>
      </c>
      <c r="AH215" s="75">
        <v>219</v>
      </c>
      <c r="AI215" s="4">
        <v>1035</v>
      </c>
      <c r="AJ215" s="26">
        <v>477.27</v>
      </c>
      <c r="AK215" s="13">
        <f t="shared" si="31"/>
        <v>108.18040454999999</v>
      </c>
      <c r="AL215" s="13">
        <f t="shared" si="32"/>
        <v>75.726283184999986</v>
      </c>
      <c r="AM215" s="27">
        <v>104999.4</v>
      </c>
      <c r="AN215" s="20">
        <f t="shared" si="33"/>
        <v>29127</v>
      </c>
      <c r="AO215" s="23">
        <f t="shared" si="34"/>
        <v>0.7</v>
      </c>
      <c r="AP215" s="24">
        <f t="shared" si="35"/>
        <v>1.3027775635825822</v>
      </c>
    </row>
    <row r="216" spans="1:42" x14ac:dyDescent="0.3">
      <c r="A216" t="s">
        <v>678</v>
      </c>
      <c r="B216" s="6" t="s">
        <v>454</v>
      </c>
      <c r="C216" s="15" t="s">
        <v>486</v>
      </c>
      <c r="D216" s="5" t="s">
        <v>550</v>
      </c>
      <c r="E216" s="19">
        <v>1</v>
      </c>
      <c r="F216" s="17"/>
      <c r="G216" s="17"/>
      <c r="H216" s="17"/>
      <c r="I216" s="17"/>
      <c r="J216" s="16">
        <v>351</v>
      </c>
      <c r="K216" s="5" t="s">
        <v>231</v>
      </c>
      <c r="L216" s="6" t="s">
        <v>246</v>
      </c>
      <c r="M216" s="104"/>
      <c r="N216" s="6" t="s">
        <v>247</v>
      </c>
      <c r="O216" s="5" t="s">
        <v>714</v>
      </c>
      <c r="P216" s="6" t="s">
        <v>27</v>
      </c>
      <c r="Q216" s="7">
        <v>2027</v>
      </c>
      <c r="R216" s="8">
        <v>0.74</v>
      </c>
      <c r="S216" s="8">
        <v>0.26</v>
      </c>
      <c r="T216" s="9">
        <f t="shared" si="27"/>
        <v>1</v>
      </c>
      <c r="U216" s="8">
        <v>0.05</v>
      </c>
      <c r="V216" s="8">
        <v>0.05</v>
      </c>
      <c r="W216" s="8">
        <v>6.8000000000000005E-2</v>
      </c>
      <c r="X216" s="10">
        <v>0.21632000000000001</v>
      </c>
      <c r="Y216" s="8">
        <v>0</v>
      </c>
      <c r="Z216" s="11">
        <v>46660</v>
      </c>
      <c r="AA216" s="12"/>
      <c r="AB216" s="76">
        <v>122152</v>
      </c>
      <c r="AC216" s="76"/>
      <c r="AD216" s="4">
        <v>34.55427394650139</v>
      </c>
      <c r="AE216" s="14">
        <f t="shared" si="29"/>
        <v>0.61806363703935108</v>
      </c>
      <c r="AF216" s="13">
        <f t="shared" si="30"/>
        <v>16.265633999999999</v>
      </c>
      <c r="AG216" s="4">
        <v>133</v>
      </c>
      <c r="AH216" s="75">
        <v>218</v>
      </c>
      <c r="AI216" s="75">
        <v>561</v>
      </c>
      <c r="AJ216" s="26">
        <v>457.14</v>
      </c>
      <c r="AK216" s="13">
        <f t="shared" si="31"/>
        <v>55.907307719999999</v>
      </c>
      <c r="AL216" s="13">
        <f t="shared" si="32"/>
        <v>41.3714077128</v>
      </c>
      <c r="AM216" s="27">
        <v>79999.5</v>
      </c>
      <c r="AN216" s="20">
        <f t="shared" si="33"/>
        <v>28994</v>
      </c>
      <c r="AO216" s="23">
        <f t="shared" si="34"/>
        <v>0.74</v>
      </c>
      <c r="AP216" s="24">
        <f t="shared" si="35"/>
        <v>0.81407876134588997</v>
      </c>
    </row>
    <row r="217" spans="1:42" x14ac:dyDescent="0.3">
      <c r="A217" t="s">
        <v>679</v>
      </c>
      <c r="B217" s="6" t="s">
        <v>455</v>
      </c>
      <c r="C217" s="15" t="s">
        <v>485</v>
      </c>
      <c r="D217" s="5" t="s">
        <v>550</v>
      </c>
      <c r="E217" s="19">
        <v>1</v>
      </c>
      <c r="F217" s="17"/>
      <c r="G217" s="17"/>
      <c r="H217" s="17"/>
      <c r="I217" s="17"/>
      <c r="J217" s="16">
        <v>352</v>
      </c>
      <c r="K217" s="31" t="s">
        <v>231</v>
      </c>
      <c r="L217" s="30" t="s">
        <v>248</v>
      </c>
      <c r="M217" s="105"/>
      <c r="N217" s="30" t="s">
        <v>50</v>
      </c>
      <c r="O217" s="31" t="s">
        <v>714</v>
      </c>
      <c r="P217" s="30" t="s">
        <v>27</v>
      </c>
      <c r="Q217" s="7">
        <v>2027</v>
      </c>
      <c r="R217" s="33">
        <v>0.7</v>
      </c>
      <c r="S217" s="33">
        <v>0.30000000000000004</v>
      </c>
      <c r="T217" s="34">
        <f t="shared" si="27"/>
        <v>1</v>
      </c>
      <c r="U217" s="33">
        <v>0.05</v>
      </c>
      <c r="V217" s="33">
        <v>0.05</v>
      </c>
      <c r="W217" s="33">
        <v>6.8000000000000005E-2</v>
      </c>
      <c r="X217" s="35">
        <v>0.24960000000000004</v>
      </c>
      <c r="Y217" s="33">
        <v>0</v>
      </c>
      <c r="Z217" s="36">
        <v>46568</v>
      </c>
      <c r="AA217" s="37"/>
      <c r="AB217" s="78">
        <v>310438</v>
      </c>
      <c r="AC217" s="78"/>
      <c r="AD217" s="39">
        <v>37.905218842119957</v>
      </c>
      <c r="AE217" s="40">
        <f t="shared" si="29"/>
        <v>0.2989411506279071</v>
      </c>
      <c r="AF217" s="41">
        <f t="shared" si="30"/>
        <v>41.223616</v>
      </c>
      <c r="AG217" s="39">
        <v>133</v>
      </c>
      <c r="AH217" s="77">
        <v>232</v>
      </c>
      <c r="AI217" s="77">
        <v>1336</v>
      </c>
      <c r="AJ217" s="57">
        <v>409.09</v>
      </c>
      <c r="AK217" s="41">
        <f t="shared" si="31"/>
        <v>126.79826367999999</v>
      </c>
      <c r="AL217" s="41">
        <f t="shared" si="32"/>
        <v>88.758784575999982</v>
      </c>
      <c r="AM217" s="58">
        <v>89999.799999999988</v>
      </c>
      <c r="AN217" s="42">
        <f t="shared" si="33"/>
        <v>30856</v>
      </c>
      <c r="AO217" s="23">
        <f t="shared" si="34"/>
        <v>0.7</v>
      </c>
      <c r="AP217" s="24">
        <f t="shared" si="35"/>
        <v>1.1216996276148128</v>
      </c>
    </row>
    <row r="218" spans="1:42" x14ac:dyDescent="0.3">
      <c r="A218" t="s">
        <v>680</v>
      </c>
      <c r="B218" s="6" t="s">
        <v>456</v>
      </c>
      <c r="C218" s="15" t="s">
        <v>485</v>
      </c>
      <c r="D218" s="5" t="s">
        <v>550</v>
      </c>
      <c r="E218" s="19">
        <v>1</v>
      </c>
      <c r="F218" s="17"/>
      <c r="G218" s="17"/>
      <c r="H218" s="17"/>
      <c r="I218" s="17"/>
      <c r="J218" s="16">
        <v>353</v>
      </c>
      <c r="K218" s="5" t="s">
        <v>231</v>
      </c>
      <c r="L218" s="6" t="s">
        <v>248</v>
      </c>
      <c r="M218" s="104"/>
      <c r="N218" s="6" t="s">
        <v>249</v>
      </c>
      <c r="O218" s="5" t="s">
        <v>715</v>
      </c>
      <c r="P218" s="6" t="s">
        <v>27</v>
      </c>
      <c r="Q218" s="65">
        <v>2028</v>
      </c>
      <c r="R218" s="8">
        <v>0.7</v>
      </c>
      <c r="S218" s="8">
        <v>0.30000000000000004</v>
      </c>
      <c r="T218" s="9">
        <f t="shared" si="27"/>
        <v>1</v>
      </c>
      <c r="U218" s="8">
        <v>0.05</v>
      </c>
      <c r="V218" s="8">
        <v>0.05</v>
      </c>
      <c r="W218" s="8">
        <v>6.8000000000000005E-2</v>
      </c>
      <c r="X218" s="10">
        <v>0.24960000000000004</v>
      </c>
      <c r="Y218" s="8">
        <v>0</v>
      </c>
      <c r="Z218" s="11">
        <v>46934</v>
      </c>
      <c r="AA218" s="12"/>
      <c r="AB218" s="22">
        <f t="shared" si="28"/>
        <v>69757.27</v>
      </c>
      <c r="AC218" s="22"/>
      <c r="AD218" s="4">
        <v>8.3386061093445853</v>
      </c>
      <c r="AE218" s="14">
        <f t="shared" si="29"/>
        <v>0.27799406758656003</v>
      </c>
      <c r="AF218" s="13">
        <f t="shared" si="30"/>
        <v>9.2777169100000005</v>
      </c>
      <c r="AG218" s="4">
        <v>133</v>
      </c>
      <c r="AH218" s="4">
        <v>255.52113553113554</v>
      </c>
      <c r="AI218" s="4">
        <v>273</v>
      </c>
      <c r="AJ218" s="4">
        <v>430</v>
      </c>
      <c r="AK218" s="13">
        <f t="shared" si="31"/>
        <v>29.995626100000003</v>
      </c>
      <c r="AL218" s="13">
        <f t="shared" si="32"/>
        <v>20.996938270000001</v>
      </c>
      <c r="AM218" s="20">
        <v>109874.08827838828</v>
      </c>
      <c r="AN218" s="20">
        <f t="shared" si="33"/>
        <v>33984.311025641029</v>
      </c>
      <c r="AO218" s="59">
        <f t="shared" si="34"/>
        <v>0.7</v>
      </c>
      <c r="AP218" s="24">
        <f t="shared" si="35"/>
        <v>1.1919024331549293</v>
      </c>
    </row>
    <row r="219" spans="1:42" x14ac:dyDescent="0.3">
      <c r="A219" t="s">
        <v>681</v>
      </c>
      <c r="B219" s="6" t="s">
        <v>569</v>
      </c>
      <c r="C219" s="15" t="s">
        <v>484</v>
      </c>
      <c r="D219" s="5" t="s">
        <v>550</v>
      </c>
      <c r="E219" s="19">
        <v>1</v>
      </c>
      <c r="F219" s="17"/>
      <c r="G219" s="17"/>
      <c r="H219" s="17"/>
      <c r="I219" s="17"/>
      <c r="J219" s="16">
        <v>354</v>
      </c>
      <c r="K219" s="5" t="s">
        <v>231</v>
      </c>
      <c r="L219" s="6" t="s">
        <v>250</v>
      </c>
      <c r="M219" s="104">
        <v>1057142.8600000001</v>
      </c>
      <c r="N219" s="6" t="s">
        <v>51</v>
      </c>
      <c r="O219" s="5" t="s">
        <v>714</v>
      </c>
      <c r="P219" s="6" t="s">
        <v>27</v>
      </c>
      <c r="Q219" s="65">
        <v>2028</v>
      </c>
      <c r="R219" s="8">
        <v>0.7</v>
      </c>
      <c r="S219" s="8">
        <v>0.30000000000000004</v>
      </c>
      <c r="T219" s="9">
        <f t="shared" si="27"/>
        <v>1</v>
      </c>
      <c r="U219" s="8">
        <v>0.05</v>
      </c>
      <c r="V219" s="8">
        <v>9.0000000000000011E-2</v>
      </c>
      <c r="W219" s="8">
        <v>6.8000000000000005E-2</v>
      </c>
      <c r="X219" s="10">
        <v>0.23760000000000003</v>
      </c>
      <c r="Y219" s="8">
        <v>0</v>
      </c>
      <c r="Z219" s="11">
        <v>47026</v>
      </c>
      <c r="AA219" s="12"/>
      <c r="AB219" s="22">
        <f t="shared" si="28"/>
        <v>594648.74</v>
      </c>
      <c r="AC219" s="22"/>
      <c r="AD219" s="4">
        <v>12.101325260788984</v>
      </c>
      <c r="AE219" s="14">
        <f t="shared" si="29"/>
        <v>0</v>
      </c>
      <c r="AF219" s="13">
        <f t="shared" si="30"/>
        <v>79.088282419999999</v>
      </c>
      <c r="AG219" s="4">
        <v>133</v>
      </c>
      <c r="AH219" s="4">
        <v>237.29</v>
      </c>
      <c r="AI219" s="4">
        <v>2506</v>
      </c>
      <c r="AJ219" s="4">
        <v>0</v>
      </c>
      <c r="AK219" s="13">
        <f t="shared" si="31"/>
        <v>0</v>
      </c>
      <c r="AL219" s="13">
        <f t="shared" si="32"/>
        <v>0</v>
      </c>
      <c r="AM219" s="20">
        <v>0</v>
      </c>
      <c r="AN219" s="20">
        <f t="shared" si="33"/>
        <v>31559.57</v>
      </c>
      <c r="AO219" s="59">
        <f t="shared" si="34"/>
        <v>0.7</v>
      </c>
      <c r="AP219" s="24">
        <f t="shared" si="35"/>
        <v>0</v>
      </c>
    </row>
    <row r="220" spans="1:42" x14ac:dyDescent="0.3">
      <c r="A220" t="s">
        <v>572</v>
      </c>
      <c r="B220" s="6" t="s">
        <v>457</v>
      </c>
      <c r="C220" s="15" t="s">
        <v>483</v>
      </c>
      <c r="D220" s="5" t="s">
        <v>550</v>
      </c>
      <c r="E220" s="19">
        <v>1</v>
      </c>
      <c r="F220" s="17"/>
      <c r="G220" s="17"/>
      <c r="H220" s="17"/>
      <c r="I220" s="17"/>
      <c r="J220" s="16">
        <v>355</v>
      </c>
      <c r="K220" s="45" t="s">
        <v>251</v>
      </c>
      <c r="L220" s="46" t="s">
        <v>252</v>
      </c>
      <c r="M220" s="106">
        <v>11775750</v>
      </c>
      <c r="N220" s="46" t="s">
        <v>253</v>
      </c>
      <c r="O220" s="45" t="s">
        <v>714</v>
      </c>
      <c r="P220" s="46" t="s">
        <v>27</v>
      </c>
      <c r="Q220" s="7">
        <v>2026</v>
      </c>
      <c r="R220" s="47">
        <v>0.75</v>
      </c>
      <c r="S220" s="47">
        <v>0.25</v>
      </c>
      <c r="T220" s="48">
        <f t="shared" si="27"/>
        <v>1</v>
      </c>
      <c r="U220" s="47">
        <v>0.05</v>
      </c>
      <c r="V220" s="47">
        <v>9.0000000000000011E-2</v>
      </c>
      <c r="W220" s="47">
        <v>6.8000000000000005E-2</v>
      </c>
      <c r="X220" s="49">
        <v>0.19800000000000001</v>
      </c>
      <c r="Y220" s="47">
        <v>0</v>
      </c>
      <c r="Z220" s="50">
        <v>46203</v>
      </c>
      <c r="AA220" s="51"/>
      <c r="AB220" s="52">
        <f t="shared" si="28"/>
        <v>222798.36499999999</v>
      </c>
      <c r="AC220" s="52"/>
      <c r="AD220" s="53">
        <v>22.428655113498483</v>
      </c>
      <c r="AE220" s="54">
        <f t="shared" si="29"/>
        <v>0.20544480000000004</v>
      </c>
      <c r="AF220" s="55">
        <f t="shared" si="30"/>
        <v>32.974158019999997</v>
      </c>
      <c r="AG220" s="53">
        <v>148</v>
      </c>
      <c r="AH220" s="53">
        <v>305.20323972602739</v>
      </c>
      <c r="AI220" s="53">
        <v>730</v>
      </c>
      <c r="AJ220" s="53">
        <v>490</v>
      </c>
      <c r="AK220" s="55">
        <f t="shared" si="31"/>
        <v>109.17119885</v>
      </c>
      <c r="AL220" s="55">
        <f t="shared" si="32"/>
        <v>81.878399137499997</v>
      </c>
      <c r="AM220" s="56">
        <v>149549.58746575343</v>
      </c>
      <c r="AN220" s="56">
        <f t="shared" si="33"/>
        <v>45170.079479452055</v>
      </c>
      <c r="AO220" s="23">
        <f t="shared" si="34"/>
        <v>0.75</v>
      </c>
      <c r="AP220" s="24">
        <f t="shared" si="35"/>
        <v>1.4778743985473446</v>
      </c>
    </row>
    <row r="221" spans="1:42" x14ac:dyDescent="0.3">
      <c r="A221" t="s">
        <v>572</v>
      </c>
      <c r="B221" s="6" t="s">
        <v>458</v>
      </c>
      <c r="C221" s="15" t="s">
        <v>483</v>
      </c>
      <c r="D221" s="5" t="s">
        <v>550</v>
      </c>
      <c r="E221" s="19">
        <v>1</v>
      </c>
      <c r="F221" s="17"/>
      <c r="G221" s="17"/>
      <c r="H221" s="17"/>
      <c r="I221" s="17"/>
      <c r="J221" s="16">
        <v>356</v>
      </c>
      <c r="K221" s="5" t="s">
        <v>251</v>
      </c>
      <c r="L221" s="6" t="s">
        <v>252</v>
      </c>
      <c r="M221" s="104">
        <v>11775750</v>
      </c>
      <c r="N221" s="6" t="s">
        <v>254</v>
      </c>
      <c r="O221" s="5" t="s">
        <v>714</v>
      </c>
      <c r="P221" s="6" t="s">
        <v>27</v>
      </c>
      <c r="Q221" s="7">
        <v>2028</v>
      </c>
      <c r="R221" s="8">
        <v>0.75</v>
      </c>
      <c r="S221" s="8">
        <v>0.25</v>
      </c>
      <c r="T221" s="9">
        <f t="shared" si="27"/>
        <v>1</v>
      </c>
      <c r="U221" s="8">
        <v>0.05</v>
      </c>
      <c r="V221" s="8">
        <v>9.0000000000000011E-2</v>
      </c>
      <c r="W221" s="8">
        <v>6.8000000000000005E-2</v>
      </c>
      <c r="X221" s="10">
        <v>0.19800000000000001</v>
      </c>
      <c r="Y221" s="8">
        <v>0</v>
      </c>
      <c r="Z221" s="11">
        <v>46934</v>
      </c>
      <c r="AA221" s="12"/>
      <c r="AB221" s="22">
        <f t="shared" si="28"/>
        <v>222798.36499999996</v>
      </c>
      <c r="AC221" s="22"/>
      <c r="AD221" s="4">
        <v>24.0748847558466</v>
      </c>
      <c r="AE221" s="14">
        <f t="shared" si="29"/>
        <v>0.2205241401528</v>
      </c>
      <c r="AF221" s="13">
        <f t="shared" si="30"/>
        <v>32.974158019999997</v>
      </c>
      <c r="AG221" s="4">
        <v>148</v>
      </c>
      <c r="AH221" s="4">
        <v>304.78572503419969</v>
      </c>
      <c r="AI221" s="4">
        <v>731</v>
      </c>
      <c r="AJ221" s="4">
        <v>490.00000000000006</v>
      </c>
      <c r="AK221" s="13">
        <f t="shared" si="31"/>
        <v>109.17119885000001</v>
      </c>
      <c r="AL221" s="13">
        <f t="shared" si="32"/>
        <v>81.878399137500011</v>
      </c>
      <c r="AM221" s="20">
        <v>149345.00526675786</v>
      </c>
      <c r="AN221" s="20">
        <f t="shared" si="33"/>
        <v>45108.287305061553</v>
      </c>
      <c r="AO221" s="23">
        <f t="shared" si="34"/>
        <v>0.75</v>
      </c>
      <c r="AP221" s="24">
        <f t="shared" si="35"/>
        <v>1.4352282729652679</v>
      </c>
    </row>
    <row r="222" spans="1:42" x14ac:dyDescent="0.3">
      <c r="A222" t="s">
        <v>682</v>
      </c>
      <c r="B222" s="6" t="s">
        <v>459</v>
      </c>
      <c r="C222" s="15" t="s">
        <v>482</v>
      </c>
      <c r="D222" s="5" t="s">
        <v>550</v>
      </c>
      <c r="E222" s="19">
        <v>1</v>
      </c>
      <c r="F222" s="17"/>
      <c r="G222" s="17"/>
      <c r="H222" s="17"/>
      <c r="I222" s="17"/>
      <c r="J222" s="16">
        <v>357</v>
      </c>
      <c r="K222" s="5" t="s">
        <v>24</v>
      </c>
      <c r="L222" s="6" t="s">
        <v>255</v>
      </c>
      <c r="M222" s="104"/>
      <c r="N222" s="6" t="s">
        <v>256</v>
      </c>
      <c r="O222" s="5" t="s">
        <v>715</v>
      </c>
      <c r="P222" s="6" t="s">
        <v>80</v>
      </c>
      <c r="Q222" s="7">
        <v>2026</v>
      </c>
      <c r="R222" s="8">
        <v>1</v>
      </c>
      <c r="S222" s="8">
        <v>0</v>
      </c>
      <c r="T222" s="9">
        <f t="shared" si="27"/>
        <v>1</v>
      </c>
      <c r="U222" s="8"/>
      <c r="V222" s="8"/>
      <c r="W222" s="8"/>
      <c r="X222" s="10">
        <v>0</v>
      </c>
      <c r="Y222" s="8">
        <v>0</v>
      </c>
      <c r="Z222" s="11">
        <v>46203</v>
      </c>
      <c r="AA222" s="12"/>
      <c r="AB222" s="22">
        <f t="shared" si="28"/>
        <v>75000</v>
      </c>
      <c r="AC222" s="22"/>
      <c r="AD222" s="4">
        <v>0</v>
      </c>
      <c r="AE222" s="14">
        <f t="shared" si="29"/>
        <v>0</v>
      </c>
      <c r="AF222" s="13">
        <f t="shared" si="30"/>
        <v>19.5</v>
      </c>
      <c r="AG222" s="4">
        <v>260</v>
      </c>
      <c r="AH222" s="4">
        <v>300</v>
      </c>
      <c r="AI222" s="4">
        <v>250</v>
      </c>
      <c r="AJ222" s="4">
        <v>700</v>
      </c>
      <c r="AK222" s="13">
        <f t="shared" si="31"/>
        <v>52.5</v>
      </c>
      <c r="AL222" s="13">
        <f t="shared" si="32"/>
        <v>52.5</v>
      </c>
      <c r="AM222" s="20">
        <v>210000</v>
      </c>
      <c r="AN222" s="20">
        <f t="shared" si="33"/>
        <v>78000</v>
      </c>
      <c r="AO222" s="23">
        <f t="shared" si="34"/>
        <v>1</v>
      </c>
      <c r="AP222" s="24">
        <f t="shared" si="35"/>
        <v>2.6923076923076925</v>
      </c>
    </row>
    <row r="223" spans="1:42" x14ac:dyDescent="0.3">
      <c r="A223" t="s">
        <v>683</v>
      </c>
      <c r="B223" s="6" t="s">
        <v>460</v>
      </c>
      <c r="C223" s="15" t="s">
        <v>481</v>
      </c>
      <c r="D223" s="5" t="s">
        <v>550</v>
      </c>
      <c r="E223" s="19">
        <v>1</v>
      </c>
      <c r="F223" s="17"/>
      <c r="G223" s="17"/>
      <c r="H223" s="17"/>
      <c r="I223" s="17"/>
      <c r="J223" s="16">
        <v>358</v>
      </c>
      <c r="K223" s="5" t="s">
        <v>257</v>
      </c>
      <c r="L223" s="6" t="s">
        <v>258</v>
      </c>
      <c r="M223" s="104"/>
      <c r="N223" s="6" t="s">
        <v>259</v>
      </c>
      <c r="O223" s="5" t="s">
        <v>715</v>
      </c>
      <c r="P223" s="6" t="s">
        <v>27</v>
      </c>
      <c r="Q223" s="7">
        <v>2030</v>
      </c>
      <c r="R223" s="8">
        <v>0.8</v>
      </c>
      <c r="S223" s="8">
        <v>0</v>
      </c>
      <c r="T223" s="9">
        <f t="shared" si="27"/>
        <v>0.8</v>
      </c>
      <c r="U223" s="8"/>
      <c r="V223" s="8"/>
      <c r="W223" s="8"/>
      <c r="X223" s="10">
        <v>0</v>
      </c>
      <c r="Y223" s="8">
        <v>0.19999999999999996</v>
      </c>
      <c r="Z223" s="11">
        <v>47848</v>
      </c>
      <c r="AA223" s="12"/>
      <c r="AB223" s="22">
        <f t="shared" si="28"/>
        <v>260020.40000000002</v>
      </c>
      <c r="AC223" s="22"/>
      <c r="AD223" s="4">
        <v>0</v>
      </c>
      <c r="AE223" s="14">
        <f t="shared" si="29"/>
        <v>0</v>
      </c>
      <c r="AF223" s="13">
        <f t="shared" si="30"/>
        <v>38.483019200000001</v>
      </c>
      <c r="AG223" s="4">
        <v>148</v>
      </c>
      <c r="AH223" s="4">
        <v>296.82694063926942</v>
      </c>
      <c r="AI223" s="4">
        <v>876</v>
      </c>
      <c r="AJ223" s="4">
        <v>500</v>
      </c>
      <c r="AK223" s="13">
        <f t="shared" si="31"/>
        <v>130.01020000000003</v>
      </c>
      <c r="AL223" s="13">
        <f t="shared" si="32"/>
        <v>104.00816000000003</v>
      </c>
      <c r="AM223" s="20">
        <v>148413.47031963471</v>
      </c>
      <c r="AN223" s="20">
        <f t="shared" si="33"/>
        <v>43930.387214611874</v>
      </c>
      <c r="AO223" s="23">
        <f t="shared" si="34"/>
        <v>1</v>
      </c>
      <c r="AP223" s="24">
        <f t="shared" si="35"/>
        <v>3.378378378378379</v>
      </c>
    </row>
    <row r="224" spans="1:42" x14ac:dyDescent="0.3">
      <c r="A224" t="s">
        <v>683</v>
      </c>
      <c r="B224" s="6" t="s">
        <v>461</v>
      </c>
      <c r="C224" s="15" t="s">
        <v>481</v>
      </c>
      <c r="D224" s="5" t="s">
        <v>550</v>
      </c>
      <c r="E224" s="19">
        <v>1</v>
      </c>
      <c r="F224" s="17"/>
      <c r="G224" s="17"/>
      <c r="H224" s="17"/>
      <c r="I224" s="17"/>
      <c r="J224" s="16">
        <v>359</v>
      </c>
      <c r="K224" s="5" t="s">
        <v>257</v>
      </c>
      <c r="L224" s="6" t="s">
        <v>258</v>
      </c>
      <c r="M224" s="104"/>
      <c r="N224" s="6" t="s">
        <v>260</v>
      </c>
      <c r="O224" s="5" t="s">
        <v>715</v>
      </c>
      <c r="P224" s="6" t="s">
        <v>27</v>
      </c>
      <c r="Q224" s="7">
        <v>2029</v>
      </c>
      <c r="R224" s="8">
        <v>0.8</v>
      </c>
      <c r="S224" s="8">
        <v>0</v>
      </c>
      <c r="T224" s="9">
        <f t="shared" si="27"/>
        <v>0.8</v>
      </c>
      <c r="U224" s="8"/>
      <c r="V224" s="8"/>
      <c r="W224" s="8"/>
      <c r="X224" s="10">
        <v>0</v>
      </c>
      <c r="Y224" s="8">
        <v>0.19999999999999996</v>
      </c>
      <c r="Z224" s="11">
        <v>47483</v>
      </c>
      <c r="AA224" s="12"/>
      <c r="AB224" s="22">
        <f t="shared" si="28"/>
        <v>134090.93</v>
      </c>
      <c r="AC224" s="22"/>
      <c r="AD224" s="4">
        <v>0</v>
      </c>
      <c r="AE224" s="14">
        <f t="shared" si="29"/>
        <v>0</v>
      </c>
      <c r="AF224" s="13">
        <f t="shared" si="30"/>
        <v>19.845457639999996</v>
      </c>
      <c r="AG224" s="4">
        <v>148</v>
      </c>
      <c r="AH224" s="4">
        <v>292.13710239651414</v>
      </c>
      <c r="AI224" s="4">
        <v>459</v>
      </c>
      <c r="AJ224" s="4">
        <v>500</v>
      </c>
      <c r="AK224" s="13">
        <f t="shared" si="31"/>
        <v>67.045464999999993</v>
      </c>
      <c r="AL224" s="13">
        <f t="shared" si="32"/>
        <v>53.636371999999994</v>
      </c>
      <c r="AM224" s="20">
        <v>146068.55119825708</v>
      </c>
      <c r="AN224" s="20">
        <f t="shared" si="33"/>
        <v>43236.291154684091</v>
      </c>
      <c r="AO224" s="23">
        <f t="shared" si="34"/>
        <v>1</v>
      </c>
      <c r="AP224" s="24">
        <f t="shared" si="35"/>
        <v>3.378378378378379</v>
      </c>
    </row>
    <row r="225" spans="1:42" x14ac:dyDescent="0.3">
      <c r="A225" t="s">
        <v>683</v>
      </c>
      <c r="B225" s="6" t="s">
        <v>462</v>
      </c>
      <c r="C225" s="15" t="s">
        <v>481</v>
      </c>
      <c r="D225" s="5" t="s">
        <v>550</v>
      </c>
      <c r="E225" s="19">
        <v>1</v>
      </c>
      <c r="F225" s="17"/>
      <c r="G225" s="17"/>
      <c r="H225" s="17"/>
      <c r="I225" s="17"/>
      <c r="J225" s="16">
        <v>360</v>
      </c>
      <c r="K225" s="5" t="s">
        <v>257</v>
      </c>
      <c r="L225" s="6" t="s">
        <v>258</v>
      </c>
      <c r="M225" s="104"/>
      <c r="N225" s="6" t="s">
        <v>261</v>
      </c>
      <c r="O225" s="5" t="s">
        <v>715</v>
      </c>
      <c r="P225" s="6" t="s">
        <v>27</v>
      </c>
      <c r="Q225" s="7">
        <v>2026</v>
      </c>
      <c r="R225" s="8">
        <v>0.8</v>
      </c>
      <c r="S225" s="8">
        <v>0</v>
      </c>
      <c r="T225" s="9">
        <f t="shared" si="27"/>
        <v>0.8</v>
      </c>
      <c r="U225" s="8"/>
      <c r="V225" s="8"/>
      <c r="W225" s="8"/>
      <c r="X225" s="10">
        <v>0</v>
      </c>
      <c r="Y225" s="8">
        <v>0.19999999999999996</v>
      </c>
      <c r="Z225" s="11">
        <v>46295</v>
      </c>
      <c r="AA225" s="12"/>
      <c r="AB225" s="22">
        <f t="shared" si="28"/>
        <v>72284.41</v>
      </c>
      <c r="AC225" s="22"/>
      <c r="AD225" s="4">
        <v>0</v>
      </c>
      <c r="AE225" s="14">
        <f t="shared" si="29"/>
        <v>0</v>
      </c>
      <c r="AF225" s="13">
        <f t="shared" si="30"/>
        <v>10.69809268</v>
      </c>
      <c r="AG225" s="4">
        <v>148</v>
      </c>
      <c r="AH225" s="4">
        <v>384.49154255319149</v>
      </c>
      <c r="AI225" s="4">
        <v>188</v>
      </c>
      <c r="AJ225" s="4">
        <v>500</v>
      </c>
      <c r="AK225" s="13">
        <f t="shared" si="31"/>
        <v>36.142204999999997</v>
      </c>
      <c r="AL225" s="13">
        <f t="shared" si="32"/>
        <v>28.913764</v>
      </c>
      <c r="AM225" s="20">
        <v>192245.77127659574</v>
      </c>
      <c r="AN225" s="20">
        <f t="shared" si="33"/>
        <v>56904.748297872342</v>
      </c>
      <c r="AO225" s="23">
        <f t="shared" si="34"/>
        <v>1</v>
      </c>
      <c r="AP225" s="24">
        <f t="shared" si="35"/>
        <v>3.3783783783783781</v>
      </c>
    </row>
    <row r="226" spans="1:42" x14ac:dyDescent="0.3">
      <c r="A226" t="s">
        <v>683</v>
      </c>
      <c r="B226" s="6" t="s">
        <v>463</v>
      </c>
      <c r="C226" s="15" t="s">
        <v>481</v>
      </c>
      <c r="D226" s="5" t="s">
        <v>550</v>
      </c>
      <c r="E226" s="19">
        <v>1</v>
      </c>
      <c r="F226" s="17"/>
      <c r="G226" s="17"/>
      <c r="H226" s="17"/>
      <c r="I226" s="17"/>
      <c r="J226" s="16">
        <v>361</v>
      </c>
      <c r="K226" s="5" t="s">
        <v>257</v>
      </c>
      <c r="L226" s="6" t="s">
        <v>258</v>
      </c>
      <c r="M226" s="104"/>
      <c r="N226" s="6" t="s">
        <v>262</v>
      </c>
      <c r="O226" s="5" t="s">
        <v>715</v>
      </c>
      <c r="P226" s="6" t="s">
        <v>27</v>
      </c>
      <c r="Q226" s="7">
        <v>2026</v>
      </c>
      <c r="R226" s="8">
        <v>0.8</v>
      </c>
      <c r="S226" s="8">
        <v>0</v>
      </c>
      <c r="T226" s="9">
        <f t="shared" si="27"/>
        <v>0.8</v>
      </c>
      <c r="U226" s="8"/>
      <c r="V226" s="8"/>
      <c r="W226" s="8"/>
      <c r="X226" s="10">
        <v>0</v>
      </c>
      <c r="Y226" s="8">
        <v>0.19999999999999996</v>
      </c>
      <c r="Z226" s="11">
        <v>46295</v>
      </c>
      <c r="AA226" s="12"/>
      <c r="AB226" s="22">
        <f t="shared" si="28"/>
        <v>78369.0235042735</v>
      </c>
      <c r="AC226" s="22"/>
      <c r="AD226" s="4">
        <v>0</v>
      </c>
      <c r="AE226" s="14">
        <f t="shared" si="29"/>
        <v>0</v>
      </c>
      <c r="AF226" s="13">
        <f t="shared" si="30"/>
        <v>11.598615478632476</v>
      </c>
      <c r="AG226" s="4">
        <v>148</v>
      </c>
      <c r="AH226" s="4">
        <v>279.88936965811962</v>
      </c>
      <c r="AI226" s="4">
        <v>280</v>
      </c>
      <c r="AJ226" s="4">
        <v>500</v>
      </c>
      <c r="AK226" s="13">
        <f t="shared" si="31"/>
        <v>39.184511752136743</v>
      </c>
      <c r="AL226" s="13">
        <f t="shared" si="32"/>
        <v>31.347609401709395</v>
      </c>
      <c r="AM226" s="20">
        <v>139944.68482905981</v>
      </c>
      <c r="AN226" s="20">
        <f t="shared" si="33"/>
        <v>41423.626709401702</v>
      </c>
      <c r="AO226" s="23">
        <f t="shared" si="34"/>
        <v>1</v>
      </c>
      <c r="AP226" s="24">
        <f t="shared" si="35"/>
        <v>3.3783783783783781</v>
      </c>
    </row>
    <row r="227" spans="1:42" x14ac:dyDescent="0.3">
      <c r="A227" t="s">
        <v>683</v>
      </c>
      <c r="B227" s="6" t="s">
        <v>464</v>
      </c>
      <c r="C227" s="15" t="s">
        <v>481</v>
      </c>
      <c r="D227" s="5" t="s">
        <v>550</v>
      </c>
      <c r="E227" s="19">
        <v>1</v>
      </c>
      <c r="F227" s="17"/>
      <c r="G227" s="17"/>
      <c r="H227" s="17"/>
      <c r="I227" s="17"/>
      <c r="J227" s="16">
        <v>362</v>
      </c>
      <c r="K227" s="5" t="s">
        <v>257</v>
      </c>
      <c r="L227" s="6" t="s">
        <v>258</v>
      </c>
      <c r="M227" s="104"/>
      <c r="N227" s="6" t="s">
        <v>263</v>
      </c>
      <c r="O227" s="5" t="s">
        <v>715</v>
      </c>
      <c r="P227" s="6" t="s">
        <v>27</v>
      </c>
      <c r="Q227" s="7">
        <v>2028</v>
      </c>
      <c r="R227" s="8">
        <v>0.8</v>
      </c>
      <c r="S227" s="8">
        <v>0</v>
      </c>
      <c r="T227" s="9">
        <f t="shared" si="27"/>
        <v>0.8</v>
      </c>
      <c r="U227" s="8"/>
      <c r="V227" s="8"/>
      <c r="W227" s="8"/>
      <c r="X227" s="10">
        <v>0</v>
      </c>
      <c r="Y227" s="8">
        <v>0.19999999999999996</v>
      </c>
      <c r="Z227" s="11">
        <v>47118</v>
      </c>
      <c r="AA227" s="12"/>
      <c r="AB227" s="22">
        <f>AH227*AI227</f>
        <v>183607.42649572651</v>
      </c>
      <c r="AC227" s="22"/>
      <c r="AD227" s="4">
        <v>0</v>
      </c>
      <c r="AE227" s="14">
        <f t="shared" si="29"/>
        <v>0</v>
      </c>
      <c r="AF227" s="13">
        <f t="shared" si="30"/>
        <v>27.173899121367523</v>
      </c>
      <c r="AG227" s="4">
        <v>148</v>
      </c>
      <c r="AH227" s="4">
        <v>279.88936965811968</v>
      </c>
      <c r="AI227" s="4">
        <v>656</v>
      </c>
      <c r="AJ227" s="4">
        <v>500</v>
      </c>
      <c r="AK227" s="13">
        <f t="shared" si="31"/>
        <v>91.803713247863243</v>
      </c>
      <c r="AL227" s="13">
        <f t="shared" si="32"/>
        <v>73.4429705982906</v>
      </c>
      <c r="AM227" s="20">
        <v>139944.68482905984</v>
      </c>
      <c r="AN227" s="20">
        <f t="shared" si="33"/>
        <v>41423.626709401709</v>
      </c>
      <c r="AO227" s="23">
        <f t="shared" si="34"/>
        <v>1</v>
      </c>
      <c r="AP227" s="24">
        <f t="shared" si="35"/>
        <v>3.3783783783783781</v>
      </c>
    </row>
    <row r="228" spans="1:42" x14ac:dyDescent="0.3">
      <c r="A228" t="s">
        <v>683</v>
      </c>
      <c r="B228" s="6" t="s">
        <v>465</v>
      </c>
      <c r="C228" s="15" t="s">
        <v>481</v>
      </c>
      <c r="D228" s="5" t="s">
        <v>550</v>
      </c>
      <c r="E228" s="19">
        <v>1</v>
      </c>
      <c r="F228" s="17"/>
      <c r="G228" s="17"/>
      <c r="H228" s="17"/>
      <c r="I228" s="17"/>
      <c r="J228" s="16">
        <v>363</v>
      </c>
      <c r="K228" s="5" t="s">
        <v>257</v>
      </c>
      <c r="L228" s="6" t="s">
        <v>258</v>
      </c>
      <c r="M228" s="104"/>
      <c r="N228" s="6" t="s">
        <v>264</v>
      </c>
      <c r="O228" s="5" t="s">
        <v>715</v>
      </c>
      <c r="P228" s="6" t="s">
        <v>27</v>
      </c>
      <c r="Q228" s="7">
        <v>2026</v>
      </c>
      <c r="R228" s="8">
        <v>0.8</v>
      </c>
      <c r="S228" s="8">
        <v>0</v>
      </c>
      <c r="T228" s="9">
        <f t="shared" si="27"/>
        <v>0.8</v>
      </c>
      <c r="U228" s="8"/>
      <c r="V228" s="8"/>
      <c r="W228" s="8"/>
      <c r="X228" s="10">
        <v>0</v>
      </c>
      <c r="Y228" s="8">
        <v>0.19999999999999996</v>
      </c>
      <c r="Z228" s="11">
        <v>46387</v>
      </c>
      <c r="AA228" s="12"/>
      <c r="AB228" s="22">
        <f t="shared" si="28"/>
        <v>132666.99</v>
      </c>
      <c r="AC228" s="22"/>
      <c r="AD228" s="4">
        <v>0</v>
      </c>
      <c r="AE228" s="14">
        <f t="shared" si="29"/>
        <v>0</v>
      </c>
      <c r="AF228" s="13">
        <f t="shared" si="30"/>
        <v>19.634714519999999</v>
      </c>
      <c r="AG228" s="4">
        <v>148</v>
      </c>
      <c r="AH228" s="4">
        <v>282.87204690831555</v>
      </c>
      <c r="AI228" s="4">
        <v>469</v>
      </c>
      <c r="AJ228" s="4">
        <v>500</v>
      </c>
      <c r="AK228" s="13">
        <f t="shared" si="31"/>
        <v>66.333494999999999</v>
      </c>
      <c r="AL228" s="13">
        <f t="shared" si="32"/>
        <v>53.066796000000004</v>
      </c>
      <c r="AM228" s="20">
        <v>141436.02345415778</v>
      </c>
      <c r="AN228" s="20">
        <f t="shared" si="33"/>
        <v>41865.062942430704</v>
      </c>
      <c r="AO228" s="23">
        <f t="shared" si="34"/>
        <v>1</v>
      </c>
      <c r="AP228" s="24">
        <f t="shared" si="35"/>
        <v>3.3783783783783785</v>
      </c>
    </row>
    <row r="229" spans="1:42" x14ac:dyDescent="0.3">
      <c r="A229" t="s">
        <v>683</v>
      </c>
      <c r="B229" s="30" t="s">
        <v>466</v>
      </c>
      <c r="C229" s="15" t="s">
        <v>481</v>
      </c>
      <c r="D229" s="31" t="s">
        <v>550</v>
      </c>
      <c r="E229" s="32">
        <v>1</v>
      </c>
      <c r="F229" s="17"/>
      <c r="G229" s="17"/>
      <c r="H229" s="17"/>
      <c r="I229" s="17"/>
      <c r="J229" s="16">
        <v>364</v>
      </c>
      <c r="K229" s="5" t="s">
        <v>257</v>
      </c>
      <c r="L229" s="6" t="s">
        <v>258</v>
      </c>
      <c r="M229" s="104"/>
      <c r="N229" s="6" t="s">
        <v>265</v>
      </c>
      <c r="O229" s="5" t="s">
        <v>715</v>
      </c>
      <c r="P229" s="6" t="s">
        <v>27</v>
      </c>
      <c r="Q229" s="7">
        <v>2027</v>
      </c>
      <c r="R229" s="8">
        <v>0.8</v>
      </c>
      <c r="S229" s="8">
        <v>0</v>
      </c>
      <c r="T229" s="9">
        <f>SUM(R229:S229)</f>
        <v>0.8</v>
      </c>
      <c r="U229" s="8"/>
      <c r="V229" s="8"/>
      <c r="W229" s="8"/>
      <c r="X229" s="10">
        <v>0</v>
      </c>
      <c r="Y229" s="8">
        <v>0.19999999999999996</v>
      </c>
      <c r="Z229" s="11">
        <v>46752</v>
      </c>
      <c r="AA229" s="12"/>
      <c r="AB229" s="22">
        <f t="shared" si="28"/>
        <v>177762.71</v>
      </c>
      <c r="AC229" s="22"/>
      <c r="AD229" s="4">
        <v>0</v>
      </c>
      <c r="AE229" s="14">
        <f t="shared" si="29"/>
        <v>0</v>
      </c>
      <c r="AF229" s="13">
        <f t="shared" si="30"/>
        <v>26.308881079999999</v>
      </c>
      <c r="AG229" s="4">
        <v>148</v>
      </c>
      <c r="AH229" s="4">
        <v>428.34387951807224</v>
      </c>
      <c r="AI229" s="4">
        <v>415</v>
      </c>
      <c r="AJ229" s="4">
        <v>500</v>
      </c>
      <c r="AK229" s="13">
        <f t="shared" si="31"/>
        <v>88.881354999999985</v>
      </c>
      <c r="AL229" s="13">
        <f t="shared" si="32"/>
        <v>71.105083999999991</v>
      </c>
      <c r="AM229" s="20">
        <v>214171.93975903612</v>
      </c>
      <c r="AN229" s="20">
        <f t="shared" si="33"/>
        <v>63394.894168674691</v>
      </c>
      <c r="AO229" s="23">
        <f t="shared" si="34"/>
        <v>1</v>
      </c>
      <c r="AP229" s="24">
        <f t="shared" si="35"/>
        <v>3.3783783783783781</v>
      </c>
    </row>
    <row r="230" spans="1:42" x14ac:dyDescent="0.3">
      <c r="A230" t="s">
        <v>683</v>
      </c>
      <c r="B230" s="6" t="s">
        <v>467</v>
      </c>
      <c r="C230" s="69" t="s">
        <v>481</v>
      </c>
      <c r="D230" s="5" t="s">
        <v>550</v>
      </c>
      <c r="E230" s="19">
        <v>1</v>
      </c>
      <c r="F230" s="17"/>
      <c r="G230" s="17"/>
      <c r="H230" s="17"/>
      <c r="I230" s="17"/>
      <c r="J230" s="16">
        <v>365</v>
      </c>
      <c r="K230" s="5" t="s">
        <v>257</v>
      </c>
      <c r="L230" s="6" t="s">
        <v>258</v>
      </c>
      <c r="M230" s="104"/>
      <c r="N230" s="6" t="s">
        <v>266</v>
      </c>
      <c r="O230" s="5" t="s">
        <v>715</v>
      </c>
      <c r="P230" s="6" t="s">
        <v>27</v>
      </c>
      <c r="Q230" s="7">
        <v>2029</v>
      </c>
      <c r="R230" s="33">
        <v>0.8</v>
      </c>
      <c r="S230" s="33">
        <v>0</v>
      </c>
      <c r="T230" s="34">
        <f t="shared" si="27"/>
        <v>0.8</v>
      </c>
      <c r="U230" s="33"/>
      <c r="V230" s="33"/>
      <c r="W230" s="33"/>
      <c r="X230" s="35">
        <v>0</v>
      </c>
      <c r="Y230" s="33">
        <v>0.19999999999999996</v>
      </c>
      <c r="Z230" s="36">
        <v>47483</v>
      </c>
      <c r="AA230" s="37"/>
      <c r="AB230" s="38">
        <f t="shared" si="28"/>
        <v>51071.979999999996</v>
      </c>
      <c r="AC230" s="38"/>
      <c r="AD230" s="39">
        <v>0</v>
      </c>
      <c r="AE230" s="40">
        <f t="shared" si="29"/>
        <v>0</v>
      </c>
      <c r="AF230" s="41">
        <f t="shared" si="30"/>
        <v>7.5586530400000003</v>
      </c>
      <c r="AG230" s="39">
        <v>148</v>
      </c>
      <c r="AH230" s="39">
        <v>263.25762886597937</v>
      </c>
      <c r="AI230" s="39">
        <v>194</v>
      </c>
      <c r="AJ230" s="39">
        <v>500</v>
      </c>
      <c r="AK230" s="41">
        <f t="shared" si="31"/>
        <v>25.535990000000002</v>
      </c>
      <c r="AL230" s="41">
        <f t="shared" si="32"/>
        <v>20.428792000000001</v>
      </c>
      <c r="AM230" s="42">
        <v>131628.81443298969</v>
      </c>
      <c r="AN230" s="42">
        <f>AG230*AH230</f>
        <v>38962.129072164949</v>
      </c>
      <c r="AO230" s="23">
        <f t="shared" si="34"/>
        <v>1</v>
      </c>
      <c r="AP230" s="24">
        <f t="shared" si="35"/>
        <v>3.3783783783783785</v>
      </c>
    </row>
    <row r="231" spans="1:42" x14ac:dyDescent="0.3">
      <c r="A231" s="98" t="s">
        <v>723</v>
      </c>
      <c r="B231" s="6" t="s">
        <v>703</v>
      </c>
      <c r="C231" s="64"/>
      <c r="D231" s="99"/>
      <c r="E231" s="19">
        <v>1</v>
      </c>
      <c r="F231" s="44"/>
      <c r="G231" s="44"/>
      <c r="H231" s="44"/>
      <c r="I231" s="44"/>
      <c r="J231" s="16"/>
      <c r="K231" s="5" t="s">
        <v>168</v>
      </c>
      <c r="L231" s="6" t="s">
        <v>196</v>
      </c>
      <c r="M231" s="104"/>
      <c r="N231" s="66"/>
      <c r="O231" s="80" t="s">
        <v>715</v>
      </c>
      <c r="P231" s="6" t="s">
        <v>80</v>
      </c>
      <c r="Q231" s="7">
        <v>2028</v>
      </c>
      <c r="R231" s="8">
        <v>0.47200000000000003</v>
      </c>
      <c r="S231" s="8">
        <v>0.41</v>
      </c>
      <c r="T231" s="9">
        <f t="shared" si="27"/>
        <v>0.88200000000000001</v>
      </c>
      <c r="U231" s="8"/>
      <c r="V231" s="8"/>
      <c r="W231" s="8"/>
      <c r="X231" s="10">
        <v>0</v>
      </c>
      <c r="Y231" s="8">
        <v>0.11800000000000001</v>
      </c>
      <c r="Z231" s="60"/>
      <c r="AA231" s="60"/>
      <c r="AB231" s="73">
        <f t="shared" ref="AB231:AB240" si="36">AH231*AI231</f>
        <v>43802</v>
      </c>
      <c r="AC231" s="102"/>
      <c r="AD231" s="39">
        <v>0</v>
      </c>
      <c r="AE231" s="40">
        <f t="shared" si="29"/>
        <v>0</v>
      </c>
      <c r="AF231" s="41">
        <f t="shared" si="30"/>
        <v>0</v>
      </c>
      <c r="AG231" s="39"/>
      <c r="AH231" s="4">
        <v>362</v>
      </c>
      <c r="AI231" s="4">
        <v>121</v>
      </c>
      <c r="AJ231" s="4">
        <v>2000</v>
      </c>
      <c r="AK231" s="13">
        <f t="shared" si="31"/>
        <v>87.603999999999999</v>
      </c>
      <c r="AL231" s="13">
        <f t="shared" si="32"/>
        <v>41.349088000000002</v>
      </c>
      <c r="AM231" s="20">
        <v>723899.17</v>
      </c>
      <c r="AN231" s="42">
        <f t="shared" ref="AN231:AN241" si="37">AG231*AH231</f>
        <v>0</v>
      </c>
      <c r="AO231" s="23">
        <f>R231+Y231</f>
        <v>0.59000000000000008</v>
      </c>
      <c r="AP231" s="24" t="e">
        <f t="shared" si="35"/>
        <v>#DIV/0!</v>
      </c>
    </row>
    <row r="232" spans="1:42" s="29" customFormat="1" x14ac:dyDescent="0.3">
      <c r="A232" s="101" t="s">
        <v>724</v>
      </c>
      <c r="B232" s="6" t="s">
        <v>704</v>
      </c>
      <c r="C232" s="64"/>
      <c r="D232" s="100"/>
      <c r="E232" s="19">
        <v>1</v>
      </c>
      <c r="F232" s="43"/>
      <c r="G232" s="43"/>
      <c r="H232" s="43"/>
      <c r="I232" s="43"/>
      <c r="J232" s="16"/>
      <c r="K232" s="5" t="s">
        <v>168</v>
      </c>
      <c r="L232" s="6" t="s">
        <v>212</v>
      </c>
      <c r="M232" s="104"/>
      <c r="N232" s="80"/>
      <c r="O232" s="80" t="s">
        <v>714</v>
      </c>
      <c r="P232" s="6" t="s">
        <v>27</v>
      </c>
      <c r="Q232" s="7">
        <v>2027</v>
      </c>
      <c r="R232" s="62">
        <v>0.55200000000000005</v>
      </c>
      <c r="S232" s="8">
        <v>0.31</v>
      </c>
      <c r="T232" s="63">
        <f>SUM(R232:S232)</f>
        <v>0.8620000000000001</v>
      </c>
      <c r="U232" s="70"/>
      <c r="V232" s="70"/>
      <c r="W232" s="70"/>
      <c r="X232" s="70"/>
      <c r="Y232" s="70"/>
      <c r="Z232" s="70"/>
      <c r="AA232" s="70"/>
      <c r="AB232" s="22">
        <f t="shared" si="36"/>
        <v>179396</v>
      </c>
      <c r="AC232" s="38"/>
      <c r="AD232" s="39">
        <v>0</v>
      </c>
      <c r="AE232" s="40">
        <f t="shared" si="29"/>
        <v>0</v>
      </c>
      <c r="AF232" s="41">
        <f t="shared" si="30"/>
        <v>0</v>
      </c>
      <c r="AG232" s="39"/>
      <c r="AH232" s="4">
        <v>1043</v>
      </c>
      <c r="AI232" s="4">
        <v>172</v>
      </c>
      <c r="AJ232" s="4">
        <v>900</v>
      </c>
      <c r="AK232" s="74">
        <f t="shared" si="31"/>
        <v>161.4564</v>
      </c>
      <c r="AL232" s="13">
        <f t="shared" si="32"/>
        <v>89.123932800000006</v>
      </c>
      <c r="AM232" s="61">
        <v>938349.83720930223</v>
      </c>
      <c r="AN232" s="42">
        <f t="shared" si="37"/>
        <v>0</v>
      </c>
      <c r="AO232" s="23">
        <f>R232+Y232</f>
        <v>0.55200000000000005</v>
      </c>
      <c r="AP232" s="24" t="e">
        <f t="shared" si="35"/>
        <v>#DIV/0!</v>
      </c>
    </row>
    <row r="233" spans="1:42" x14ac:dyDescent="0.3">
      <c r="A233" t="s">
        <v>732</v>
      </c>
      <c r="B233" s="6" t="s">
        <v>705</v>
      </c>
      <c r="C233" s="64"/>
      <c r="D233" s="44"/>
      <c r="E233" s="19">
        <v>1</v>
      </c>
      <c r="F233" s="44"/>
      <c r="G233" s="44"/>
      <c r="H233" s="44"/>
      <c r="I233" s="44"/>
      <c r="J233" s="16"/>
      <c r="K233" s="5" t="s">
        <v>168</v>
      </c>
      <c r="L233" s="6" t="s">
        <v>221</v>
      </c>
      <c r="M233" s="104"/>
      <c r="N233" s="6" t="s">
        <v>26</v>
      </c>
      <c r="O233" s="5" t="s">
        <v>715</v>
      </c>
      <c r="P233" s="6" t="s">
        <v>27</v>
      </c>
      <c r="Q233" s="94">
        <v>2029</v>
      </c>
      <c r="R233" s="62">
        <v>0.56000000000000005</v>
      </c>
      <c r="S233" s="8">
        <v>0.3</v>
      </c>
      <c r="T233" s="63">
        <f>SUM(R233:S233)</f>
        <v>0.8600000000000001</v>
      </c>
      <c r="U233" s="60"/>
      <c r="V233" s="60"/>
      <c r="W233" s="60"/>
      <c r="X233" s="60"/>
      <c r="Y233" s="60"/>
      <c r="Z233" s="60"/>
      <c r="AA233" s="60"/>
      <c r="AB233" s="22">
        <f t="shared" si="36"/>
        <v>159900</v>
      </c>
      <c r="AC233" s="38"/>
      <c r="AD233" s="39">
        <v>0</v>
      </c>
      <c r="AE233" s="40">
        <f t="shared" si="29"/>
        <v>0</v>
      </c>
      <c r="AF233" s="41">
        <f t="shared" si="30"/>
        <v>0</v>
      </c>
      <c r="AG233" s="39"/>
      <c r="AH233" s="4">
        <v>300</v>
      </c>
      <c r="AI233" s="4">
        <v>533</v>
      </c>
      <c r="AJ233" s="4">
        <v>700</v>
      </c>
      <c r="AK233" s="74">
        <f t="shared" si="31"/>
        <v>111.93</v>
      </c>
      <c r="AL233" s="13">
        <f>AK233*R233</f>
        <v>62.680800000000012</v>
      </c>
      <c r="AM233" s="61">
        <v>210000</v>
      </c>
      <c r="AN233" s="42">
        <f t="shared" si="37"/>
        <v>0</v>
      </c>
      <c r="AO233" s="23">
        <f t="shared" ref="AO233:AO241" si="38">R233+Y233</f>
        <v>0.56000000000000005</v>
      </c>
      <c r="AP233" s="24" t="e">
        <f t="shared" si="35"/>
        <v>#DIV/0!</v>
      </c>
    </row>
    <row r="234" spans="1:42" x14ac:dyDescent="0.3">
      <c r="A234" s="98" t="s">
        <v>725</v>
      </c>
      <c r="B234" s="46" t="s">
        <v>706</v>
      </c>
      <c r="C234" s="68"/>
      <c r="D234" s="99"/>
      <c r="E234" s="19">
        <v>1</v>
      </c>
      <c r="F234" s="71"/>
      <c r="G234" s="71"/>
      <c r="H234" s="71"/>
      <c r="I234" s="71"/>
      <c r="K234" s="6" t="s">
        <v>712</v>
      </c>
      <c r="L234" s="6" t="s">
        <v>707</v>
      </c>
      <c r="M234" s="104"/>
      <c r="N234" s="6" t="s">
        <v>706</v>
      </c>
      <c r="O234" s="5" t="s">
        <v>714</v>
      </c>
      <c r="P234" s="6" t="s">
        <v>27</v>
      </c>
      <c r="Q234" s="95"/>
      <c r="R234" s="62">
        <v>0.8</v>
      </c>
      <c r="S234" s="8">
        <v>0.2</v>
      </c>
      <c r="T234" s="63">
        <f>SUM(R234:S234)</f>
        <v>1</v>
      </c>
      <c r="U234" s="60"/>
      <c r="V234" s="60"/>
      <c r="W234" s="60"/>
      <c r="X234" s="60"/>
      <c r="Y234" s="60"/>
      <c r="Z234" s="60"/>
      <c r="AA234" s="60"/>
      <c r="AB234" s="76">
        <f t="shared" si="36"/>
        <v>363235.45</v>
      </c>
      <c r="AC234" s="78"/>
      <c r="AD234" s="39">
        <v>0</v>
      </c>
      <c r="AE234" s="40">
        <f t="shared" si="29"/>
        <v>0</v>
      </c>
      <c r="AF234" s="41">
        <f>(AG234*AH234*AI234)/10^6</f>
        <v>48.346638394999999</v>
      </c>
      <c r="AG234" s="39">
        <v>133.1</v>
      </c>
      <c r="AH234" s="75">
        <v>215.57</v>
      </c>
      <c r="AI234" s="75">
        <v>1685</v>
      </c>
      <c r="AJ234" s="4">
        <v>380</v>
      </c>
      <c r="AK234" s="13">
        <f>(AJ234*AI234*AH234)/10^6</f>
        <v>138.029471</v>
      </c>
      <c r="AL234" s="13">
        <f>AK234*R234</f>
        <v>110.42357680000001</v>
      </c>
      <c r="AM234" s="61">
        <v>114000</v>
      </c>
      <c r="AN234" s="42">
        <f>AG234*AH234</f>
        <v>28692.366999999998</v>
      </c>
      <c r="AO234" s="23">
        <f t="shared" si="38"/>
        <v>0.8</v>
      </c>
      <c r="AP234" s="24">
        <f t="shared" si="35"/>
        <v>2.2839969947407965</v>
      </c>
    </row>
    <row r="235" spans="1:42" x14ac:dyDescent="0.3">
      <c r="A235" s="98" t="s">
        <v>726</v>
      </c>
      <c r="B235" s="6" t="s">
        <v>708</v>
      </c>
      <c r="C235" s="67"/>
      <c r="D235" s="99"/>
      <c r="E235" s="19">
        <v>1</v>
      </c>
      <c r="F235" s="71"/>
      <c r="G235" s="71"/>
      <c r="H235" s="71"/>
      <c r="I235" s="71"/>
      <c r="K235" s="84" t="s">
        <v>231</v>
      </c>
      <c r="L235" s="66" t="s">
        <v>239</v>
      </c>
      <c r="M235" s="107"/>
      <c r="N235" s="66" t="s">
        <v>708</v>
      </c>
      <c r="O235" s="80" t="s">
        <v>715</v>
      </c>
      <c r="P235" s="66" t="s">
        <v>27</v>
      </c>
      <c r="Q235" s="95"/>
      <c r="R235" s="62">
        <v>0.7</v>
      </c>
      <c r="S235" s="8">
        <v>0.3</v>
      </c>
      <c r="T235" s="63">
        <f>SUM(R235:S235)</f>
        <v>1</v>
      </c>
      <c r="U235" s="60"/>
      <c r="V235" s="60"/>
      <c r="W235" s="8"/>
      <c r="X235" s="60"/>
      <c r="Y235" s="60"/>
      <c r="Z235" s="60"/>
      <c r="AA235" s="60"/>
      <c r="AB235" s="22">
        <f t="shared" si="36"/>
        <v>561000</v>
      </c>
      <c r="AC235" s="38"/>
      <c r="AD235" s="39">
        <v>0</v>
      </c>
      <c r="AE235" s="40">
        <f t="shared" si="29"/>
        <v>0</v>
      </c>
      <c r="AF235" s="41">
        <f t="shared" si="30"/>
        <v>0</v>
      </c>
      <c r="AG235" s="39"/>
      <c r="AH235" s="4">
        <v>250</v>
      </c>
      <c r="AI235" s="4">
        <v>2244</v>
      </c>
      <c r="AJ235" s="4">
        <v>400</v>
      </c>
      <c r="AK235" s="13">
        <f>(AJ235*AI235*AH235)/10^6</f>
        <v>224.4</v>
      </c>
      <c r="AL235" s="13">
        <f>AK235*R235</f>
        <v>157.07999999999998</v>
      </c>
      <c r="AM235" s="61">
        <v>100000</v>
      </c>
      <c r="AN235" s="42">
        <f t="shared" si="37"/>
        <v>0</v>
      </c>
      <c r="AO235" s="23">
        <f t="shared" si="38"/>
        <v>0.7</v>
      </c>
      <c r="AP235" s="24" t="e">
        <f t="shared" si="35"/>
        <v>#DIV/0!</v>
      </c>
    </row>
    <row r="236" spans="1:42" s="81" customFormat="1" x14ac:dyDescent="0.3">
      <c r="A236" s="98" t="s">
        <v>727</v>
      </c>
      <c r="B236" s="6" t="s">
        <v>709</v>
      </c>
      <c r="C236" s="67"/>
      <c r="D236" s="99"/>
      <c r="E236" s="19">
        <v>1</v>
      </c>
      <c r="F236" s="83"/>
      <c r="G236" s="83"/>
      <c r="H236" s="83"/>
      <c r="I236" s="83"/>
      <c r="K236" s="84" t="s">
        <v>231</v>
      </c>
      <c r="L236" s="6" t="s">
        <v>240</v>
      </c>
      <c r="M236" s="104"/>
      <c r="N236" s="82" t="s">
        <v>709</v>
      </c>
      <c r="O236" s="84" t="s">
        <v>715</v>
      </c>
      <c r="P236" s="82" t="s">
        <v>80</v>
      </c>
      <c r="Q236" s="96"/>
      <c r="R236" s="62">
        <v>0.7</v>
      </c>
      <c r="S236" s="8">
        <v>0.3</v>
      </c>
      <c r="T236" s="63">
        <f t="shared" ref="T236:T241" si="39">SUM(R236:S236)</f>
        <v>1</v>
      </c>
      <c r="U236" s="85"/>
      <c r="V236" s="85"/>
      <c r="W236" s="8"/>
      <c r="X236" s="85"/>
      <c r="Y236" s="85"/>
      <c r="Z236" s="85"/>
      <c r="AA236" s="85"/>
      <c r="AB236" s="22">
        <f t="shared" si="36"/>
        <v>238260</v>
      </c>
      <c r="AC236" s="38"/>
      <c r="AD236" s="39">
        <v>0</v>
      </c>
      <c r="AE236" s="40">
        <f t="shared" si="29"/>
        <v>0</v>
      </c>
      <c r="AF236" s="41">
        <f t="shared" si="30"/>
        <v>0</v>
      </c>
      <c r="AG236" s="39"/>
      <c r="AH236" s="4">
        <v>220</v>
      </c>
      <c r="AI236" s="4">
        <v>1083</v>
      </c>
      <c r="AJ236" s="4">
        <v>1500</v>
      </c>
      <c r="AK236" s="13">
        <f>(AJ236*AI236*AH236)/10^6</f>
        <v>357.39</v>
      </c>
      <c r="AL236" s="13">
        <f t="shared" ref="AL236:AL238" si="40">AK236*R236</f>
        <v>250.17299999999997</v>
      </c>
      <c r="AM236" s="61">
        <v>330000</v>
      </c>
      <c r="AN236" s="42">
        <f t="shared" si="37"/>
        <v>0</v>
      </c>
      <c r="AO236" s="23">
        <f t="shared" si="38"/>
        <v>0.7</v>
      </c>
      <c r="AP236" s="86" t="e">
        <f t="shared" si="35"/>
        <v>#DIV/0!</v>
      </c>
    </row>
    <row r="237" spans="1:42" s="81" customFormat="1" x14ac:dyDescent="0.3">
      <c r="A237" s="98" t="s">
        <v>728</v>
      </c>
      <c r="B237" s="6" t="s">
        <v>710</v>
      </c>
      <c r="C237" s="67"/>
      <c r="D237" s="99"/>
      <c r="E237" s="19">
        <v>1</v>
      </c>
      <c r="F237" s="83"/>
      <c r="G237" s="83"/>
      <c r="H237" s="83"/>
      <c r="I237" s="83"/>
      <c r="K237" s="84" t="s">
        <v>231</v>
      </c>
      <c r="L237" s="6" t="s">
        <v>240</v>
      </c>
      <c r="M237" s="104"/>
      <c r="N237" s="82" t="s">
        <v>26</v>
      </c>
      <c r="O237" s="84" t="s">
        <v>715</v>
      </c>
      <c r="P237" s="82" t="s">
        <v>80</v>
      </c>
      <c r="Q237" s="96"/>
      <c r="R237" s="62">
        <v>0.7</v>
      </c>
      <c r="S237" s="8">
        <v>0.3</v>
      </c>
      <c r="T237" s="63">
        <f t="shared" si="39"/>
        <v>1</v>
      </c>
      <c r="U237" s="85"/>
      <c r="V237" s="85"/>
      <c r="W237" s="8"/>
      <c r="X237" s="85"/>
      <c r="Y237" s="85"/>
      <c r="Z237" s="85"/>
      <c r="AA237" s="85"/>
      <c r="AB237" s="22">
        <f t="shared" si="36"/>
        <v>139700</v>
      </c>
      <c r="AC237" s="38"/>
      <c r="AD237" s="39">
        <v>0</v>
      </c>
      <c r="AE237" s="40">
        <f t="shared" si="29"/>
        <v>0</v>
      </c>
      <c r="AF237" s="41">
        <f t="shared" si="30"/>
        <v>0</v>
      </c>
      <c r="AG237" s="39"/>
      <c r="AH237" s="4">
        <v>220</v>
      </c>
      <c r="AI237" s="4">
        <v>635</v>
      </c>
      <c r="AJ237" s="4">
        <v>1500</v>
      </c>
      <c r="AK237" s="13">
        <f t="shared" ref="AK237:AK241" si="41">(AJ237*AI237*AH237)/10^6</f>
        <v>209.55</v>
      </c>
      <c r="AL237" s="13">
        <f t="shared" si="40"/>
        <v>146.685</v>
      </c>
      <c r="AM237" s="61">
        <v>330000</v>
      </c>
      <c r="AN237" s="42">
        <f t="shared" si="37"/>
        <v>0</v>
      </c>
      <c r="AO237" s="23">
        <f t="shared" si="38"/>
        <v>0.7</v>
      </c>
      <c r="AP237" s="86" t="e">
        <f t="shared" si="35"/>
        <v>#DIV/0!</v>
      </c>
    </row>
    <row r="238" spans="1:42" x14ac:dyDescent="0.3">
      <c r="A238" s="98" t="s">
        <v>729</v>
      </c>
      <c r="B238" s="87" t="s">
        <v>711</v>
      </c>
      <c r="C238" s="44"/>
      <c r="D238" s="99"/>
      <c r="E238" s="32">
        <v>1</v>
      </c>
      <c r="F238" s="71"/>
      <c r="G238" s="71"/>
      <c r="H238" s="71"/>
      <c r="I238" s="71"/>
      <c r="K238" s="66" t="s">
        <v>712</v>
      </c>
      <c r="L238" s="66" t="s">
        <v>711</v>
      </c>
      <c r="M238" s="107"/>
      <c r="N238" s="66"/>
      <c r="O238" s="80" t="s">
        <v>715</v>
      </c>
      <c r="P238" s="66"/>
      <c r="Q238" s="95">
        <v>2026</v>
      </c>
      <c r="R238" s="62">
        <v>0.8</v>
      </c>
      <c r="S238" s="33">
        <v>0.2</v>
      </c>
      <c r="T238" s="63">
        <f t="shared" si="39"/>
        <v>1</v>
      </c>
      <c r="U238" s="88"/>
      <c r="V238" s="88"/>
      <c r="W238" s="88"/>
      <c r="X238" s="88"/>
      <c r="Y238" s="88"/>
      <c r="Z238" s="88"/>
      <c r="AA238" s="88"/>
      <c r="AB238" s="38">
        <f t="shared" si="36"/>
        <v>400030</v>
      </c>
      <c r="AC238" s="38"/>
      <c r="AD238" s="39">
        <v>0</v>
      </c>
      <c r="AE238" s="40">
        <f t="shared" si="29"/>
        <v>0</v>
      </c>
      <c r="AF238" s="41">
        <f t="shared" si="30"/>
        <v>53.243993000000003</v>
      </c>
      <c r="AG238" s="39">
        <v>133.1</v>
      </c>
      <c r="AH238" s="89">
        <v>218</v>
      </c>
      <c r="AI238" s="39">
        <v>1835</v>
      </c>
      <c r="AJ238" s="39">
        <v>540</v>
      </c>
      <c r="AK238" s="41">
        <f t="shared" si="41"/>
        <v>216.0162</v>
      </c>
      <c r="AL238" s="41">
        <f t="shared" si="40"/>
        <v>172.81296</v>
      </c>
      <c r="AM238" s="90">
        <v>117720</v>
      </c>
      <c r="AN238" s="42">
        <f t="shared" si="37"/>
        <v>29015.8</v>
      </c>
      <c r="AO238" s="23">
        <f t="shared" si="38"/>
        <v>0.8</v>
      </c>
      <c r="AP238" s="24">
        <f t="shared" si="35"/>
        <v>3.2456799398948157</v>
      </c>
    </row>
    <row r="239" spans="1:42" x14ac:dyDescent="0.3">
      <c r="A239" s="98" t="s">
        <v>730</v>
      </c>
      <c r="B239" s="72" t="s">
        <v>720</v>
      </c>
      <c r="C239" s="60"/>
      <c r="D239" s="99"/>
      <c r="E239" s="19">
        <v>1</v>
      </c>
      <c r="F239" s="44"/>
      <c r="G239" s="44"/>
      <c r="H239" s="44"/>
      <c r="I239" s="44"/>
      <c r="K239" s="84" t="s">
        <v>231</v>
      </c>
      <c r="L239" s="66" t="s">
        <v>721</v>
      </c>
      <c r="M239" s="107"/>
      <c r="N239" s="66" t="s">
        <v>26</v>
      </c>
      <c r="O239" s="80" t="s">
        <v>715</v>
      </c>
      <c r="P239" s="66" t="s">
        <v>27</v>
      </c>
      <c r="Q239" s="95"/>
      <c r="R239" s="93">
        <v>0.8</v>
      </c>
      <c r="S239" s="93">
        <v>0.2</v>
      </c>
      <c r="T239" s="63">
        <f t="shared" si="39"/>
        <v>1</v>
      </c>
      <c r="U239" s="60"/>
      <c r="V239" s="60"/>
      <c r="W239" s="60"/>
      <c r="X239" s="60"/>
      <c r="Y239" s="60"/>
      <c r="Z239" s="60"/>
      <c r="AA239" s="60"/>
      <c r="AB239" s="22">
        <f t="shared" si="36"/>
        <v>1500200</v>
      </c>
      <c r="AC239" s="38"/>
      <c r="AD239" s="39">
        <v>0</v>
      </c>
      <c r="AE239" s="40">
        <f t="shared" si="29"/>
        <v>0</v>
      </c>
      <c r="AF239" s="41">
        <f t="shared" si="30"/>
        <v>0</v>
      </c>
      <c r="AG239" s="60"/>
      <c r="AH239" s="92">
        <v>1300</v>
      </c>
      <c r="AI239" s="92">
        <v>1154</v>
      </c>
      <c r="AJ239" s="92">
        <v>1400</v>
      </c>
      <c r="AK239" s="91">
        <f t="shared" si="41"/>
        <v>2100.2800000000002</v>
      </c>
      <c r="AL239" s="13">
        <f>AK239*R239</f>
        <v>1680.2240000000002</v>
      </c>
      <c r="AM239" s="61">
        <v>1820000</v>
      </c>
      <c r="AN239" s="42">
        <f t="shared" si="37"/>
        <v>0</v>
      </c>
      <c r="AO239" s="23">
        <f t="shared" si="38"/>
        <v>0.8</v>
      </c>
      <c r="AP239" s="24" t="e">
        <f t="shared" si="35"/>
        <v>#DIV/0!</v>
      </c>
    </row>
    <row r="240" spans="1:42" x14ac:dyDescent="0.3">
      <c r="A240" s="98" t="s">
        <v>731</v>
      </c>
      <c r="B240" s="72" t="s">
        <v>722</v>
      </c>
      <c r="C240" s="66"/>
      <c r="D240" s="99"/>
      <c r="E240" s="66"/>
      <c r="F240" s="44"/>
      <c r="G240" s="44"/>
      <c r="H240" s="44"/>
      <c r="I240" s="44"/>
      <c r="K240" s="80" t="s">
        <v>231</v>
      </c>
      <c r="L240" s="66" t="s">
        <v>243</v>
      </c>
      <c r="M240" s="107"/>
      <c r="N240" s="66" t="s">
        <v>26</v>
      </c>
      <c r="O240" s="112" t="s">
        <v>715</v>
      </c>
      <c r="P240" s="66" t="s">
        <v>27</v>
      </c>
      <c r="Q240" s="97"/>
      <c r="R240" s="93">
        <v>0.72</v>
      </c>
      <c r="S240" s="93">
        <v>0.28000000000000003</v>
      </c>
      <c r="T240" s="116">
        <f t="shared" si="39"/>
        <v>1</v>
      </c>
      <c r="U240" s="118"/>
      <c r="V240" s="118"/>
      <c r="W240" s="118"/>
      <c r="X240" s="118"/>
      <c r="Y240" s="118"/>
      <c r="Z240" s="118"/>
      <c r="AA240" s="118"/>
      <c r="AB240" s="115">
        <f t="shared" si="36"/>
        <v>2007600</v>
      </c>
      <c r="AC240" s="22"/>
      <c r="AD240" s="4">
        <v>0</v>
      </c>
      <c r="AE240" s="14">
        <f t="shared" si="29"/>
        <v>0</v>
      </c>
      <c r="AF240" s="13">
        <f t="shared" si="30"/>
        <v>0</v>
      </c>
      <c r="AG240" s="60"/>
      <c r="AH240" s="92">
        <v>200</v>
      </c>
      <c r="AI240" s="92">
        <v>10038</v>
      </c>
      <c r="AJ240" s="92">
        <v>550</v>
      </c>
      <c r="AK240" s="91">
        <f>(AJ240*AI240*AH240)/10^6</f>
        <v>1104.18</v>
      </c>
      <c r="AL240" s="13">
        <f>AK240*R240</f>
        <v>795.00959999999998</v>
      </c>
      <c r="AM240" s="61">
        <v>110000</v>
      </c>
      <c r="AN240" s="20">
        <f t="shared" si="37"/>
        <v>0</v>
      </c>
      <c r="AO240" s="23">
        <f t="shared" si="38"/>
        <v>0.72</v>
      </c>
      <c r="AP240" s="24" t="e">
        <f>AK240*AO240/(AF240+AD240)</f>
        <v>#DIV/0!</v>
      </c>
    </row>
    <row r="241" spans="1:42" x14ac:dyDescent="0.3">
      <c r="A241" t="s">
        <v>736</v>
      </c>
      <c r="B241" s="72" t="s">
        <v>734</v>
      </c>
      <c r="D241" s="44"/>
      <c r="E241" s="60"/>
      <c r="F241" s="44"/>
      <c r="G241" s="44"/>
      <c r="H241" s="44"/>
      <c r="I241" s="44"/>
      <c r="K241" s="66" t="s">
        <v>712</v>
      </c>
      <c r="L241" s="66" t="s">
        <v>735</v>
      </c>
      <c r="M241" s="109"/>
      <c r="N241" s="110" t="s">
        <v>26</v>
      </c>
      <c r="O241" s="113"/>
      <c r="P241" s="111" t="s">
        <v>27</v>
      </c>
      <c r="R241" s="93">
        <v>0.72499999999999998</v>
      </c>
      <c r="S241" s="114">
        <v>0.27500000000000002</v>
      </c>
      <c r="T241" s="117">
        <f t="shared" si="39"/>
        <v>1</v>
      </c>
      <c r="U241" s="118"/>
      <c r="V241" s="118"/>
      <c r="W241" s="118"/>
      <c r="X241" s="118"/>
      <c r="Y241" s="118"/>
      <c r="Z241" s="118"/>
      <c r="AA241" s="118"/>
      <c r="AB241" s="115">
        <v>1669.242</v>
      </c>
      <c r="AC241" s="119"/>
      <c r="AD241" s="60"/>
      <c r="AE241" s="60"/>
      <c r="AF241" s="60"/>
      <c r="AG241" s="4">
        <v>240</v>
      </c>
      <c r="AH241" s="92">
        <v>219.5</v>
      </c>
      <c r="AI241" s="92">
        <v>3731</v>
      </c>
      <c r="AJ241" s="92">
        <v>520</v>
      </c>
      <c r="AK241" s="91">
        <f t="shared" si="41"/>
        <v>425.85633999999999</v>
      </c>
      <c r="AL241" s="13">
        <f>AK241*R241</f>
        <v>308.74584649999997</v>
      </c>
      <c r="AM241" s="61">
        <v>114140</v>
      </c>
      <c r="AN241" s="20">
        <f t="shared" si="37"/>
        <v>52680</v>
      </c>
      <c r="AO241" s="23">
        <f t="shared" si="38"/>
        <v>0.72499999999999998</v>
      </c>
      <c r="AP241" s="24" t="e">
        <f>AK241*AO241/(AF241+AD241)</f>
        <v>#DIV/0!</v>
      </c>
    </row>
  </sheetData>
  <autoFilter ref="A1:AM241" xr:uid="{9BB1E7F9-B7E0-4EE5-A96E-08F27078CA81}"/>
  <phoneticPr fontId="7" type="noConversion"/>
  <hyperlinks>
    <hyperlink ref="C13" r:id="rId1" xr:uid="{20D620E2-00D1-4632-9A20-0409C8AFCC74}"/>
    <hyperlink ref="C14:C17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C18" r:id="rId3" xr:uid="{EB137398-0994-4734-BD13-E69812C4B75F}"/>
    <hyperlink ref="C26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C50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C51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C55" r:id="rId7" xr:uid="{8294533D-9DB6-43F1-94EE-53FF69313595}"/>
    <hyperlink ref="C222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C220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C216" r:id="rId10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C215" r:id="rId11" xr:uid="{794E9FE4-42EB-4A70-B705-A68D82E55DC8}"/>
    <hyperlink ref="C214" r:id="rId12" xr:uid="{8D8DFB1C-A9A4-4875-A443-709B85DAC175}"/>
    <hyperlink ref="C186" r:id="rId13" xr:uid="{1D0D91EC-3933-4B7E-B1A0-BEFFA067EA2D}"/>
    <hyperlink ref="C185" r:id="rId14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C174" r:id="rId15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C166" r:id="rId16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C164" r:id="rId17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C167" r:id="rId18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C168" r:id="rId19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C165" r:id="rId20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C169" r:id="rId21" xr:uid="{5816A84D-2931-4D0D-B87B-3ABFFF565D08}"/>
    <hyperlink ref="C133" r:id="rId22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C132" r:id="rId23" xr:uid="{F22B29FD-053A-43F2-8A21-B094E498F72E}"/>
    <hyperlink ref="C129" r:id="rId24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C126" r:id="rId25" xr:uid="{4C4F8584-1BD9-4A5A-829D-A1244D6C2412}"/>
    <hyperlink ref="C123" r:id="rId26" xr:uid="{598C45D5-6AA5-4910-A34B-C742A3F53AFD}"/>
    <hyperlink ref="C122" r:id="rId27" xr:uid="{0FE482AD-3A2F-48DD-88BC-A07DF30C1CE9}"/>
    <hyperlink ref="C89" r:id="rId28" xr:uid="{BC2FB67F-9675-4F55-B4B8-F5B5BFCEA93A}"/>
    <hyperlink ref="C87" r:id="rId29" xr:uid="{D0745649-57B2-4B41-BC8A-317C5D453C14}"/>
    <hyperlink ref="C86" r:id="rId30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C82" r:id="rId31" xr:uid="{DFB1A41B-F8C8-4959-837A-5CC7D6163FE5}"/>
    <hyperlink ref="C70" r:id="rId32" xr:uid="{8410800C-2B42-46C3-880D-3308A296A4D5}"/>
    <hyperlink ref="C56" r:id="rId33" xr:uid="{478462C2-E6F6-4044-837B-29FC440AB955}"/>
    <hyperlink ref="C57" r:id="rId34" xr:uid="{EBB14039-CC37-458F-911C-6332FDD40D61}"/>
    <hyperlink ref="C62" r:id="rId35" xr:uid="{A52A0A10-142C-463C-BE2B-79C7E1A44988}"/>
    <hyperlink ref="C66" r:id="rId36" xr:uid="{FFBCE89E-F77E-45D1-9E88-1465EB7CBB9B}"/>
    <hyperlink ref="C67" r:id="rId37" xr:uid="{21E0DD0D-4E5A-4FD5-8D2B-6794A4FC1657}"/>
    <hyperlink ref="D2" r:id="rId38" xr:uid="{050962AB-0385-4B1E-A9C5-2EA0ADEDA01B}"/>
    <hyperlink ref="D3" r:id="rId39" xr:uid="{4ABAF6CD-4CCB-4E70-BB2E-08B2C6916C30}"/>
    <hyperlink ref="D4" r:id="rId40" xr:uid="{F2036225-E2F4-47A4-B4AB-D4ABB476CBAA}"/>
    <hyperlink ref="D5" r:id="rId41" xr:uid="{1AC4850D-5C66-4B82-B9B6-F71F3AD571F7}"/>
    <hyperlink ref="D6" r:id="rId42" xr:uid="{980234DB-CE5A-41E6-93B0-CBDA492C7B64}"/>
    <hyperlink ref="D7" r:id="rId43" xr:uid="{F790F121-928E-49B8-9951-F59A1369591B}"/>
    <hyperlink ref="D8" r:id="rId44" xr:uid="{46C4802C-6751-460B-8712-0103EFDF5561}"/>
    <hyperlink ref="D9" r:id="rId45" xr:uid="{6E66513B-03D1-4D20-AE1F-91BB32397B7D}"/>
    <hyperlink ref="D10" r:id="rId46" xr:uid="{235A0991-1974-4E04-93CB-6DB1A495F461}"/>
    <hyperlink ref="D11" r:id="rId47" xr:uid="{8F5B7CCC-2DC4-44ED-9C0D-EAE9B58EF9F0}"/>
    <hyperlink ref="D12" r:id="rId48" xr:uid="{38F1D4ED-3E7E-46CE-8D87-11E5C71B7584}"/>
    <hyperlink ref="D13" r:id="rId49" xr:uid="{9CC5CD2E-CD65-47DE-9B4F-09A36D33DADC}"/>
    <hyperlink ref="D14" r:id="rId50" xr:uid="{47DCB8CE-1536-466E-A5E0-E35F2AB57EA4}"/>
    <hyperlink ref="D15" r:id="rId51" xr:uid="{1553B06C-F5FF-4841-8F3A-70FF0A4228B9}"/>
    <hyperlink ref="D16" r:id="rId52" xr:uid="{02D00297-DB96-4875-B84C-CEC2BB69DB87}"/>
    <hyperlink ref="D17" r:id="rId53" xr:uid="{DA31A1B8-C3A6-4873-97E3-C5FBD3DD9BC8}"/>
    <hyperlink ref="D18" r:id="rId54" xr:uid="{B9556853-4396-4D04-AC54-A1BD84CB3074}"/>
    <hyperlink ref="D19" r:id="rId55" xr:uid="{5DA9A928-2388-483D-9B6B-C56A11DB3E0F}"/>
    <hyperlink ref="D20" r:id="rId56" xr:uid="{78BD034A-45B2-4FCC-899C-D9AAF04C7690}"/>
    <hyperlink ref="D21" r:id="rId57" xr:uid="{6CFB9E5B-A742-40EE-AA34-36028C6786F4}"/>
    <hyperlink ref="D22" r:id="rId58" xr:uid="{DACB69CA-F40A-4D04-8F2A-70F7CCACD57D}"/>
    <hyperlink ref="D23" r:id="rId59" xr:uid="{6EB5E992-2611-48CC-82CD-268201FEA907}"/>
    <hyperlink ref="D24" r:id="rId60" xr:uid="{286CA1B0-16C3-440A-9691-FDB82ADD8896}"/>
    <hyperlink ref="D25" r:id="rId61" xr:uid="{9972708A-9B14-4972-827B-E6B25FBD050C}"/>
    <hyperlink ref="D26" r:id="rId62" xr:uid="{04F9700B-49D4-4E1D-AF69-658E07BABE6E}"/>
    <hyperlink ref="D27" r:id="rId63" xr:uid="{3366B2AC-ED74-4EB8-83E6-F162162CB79F}"/>
    <hyperlink ref="D28" r:id="rId64" xr:uid="{4CB470E5-4B4B-4312-9252-47D2D15701D6}"/>
    <hyperlink ref="D29" r:id="rId65" xr:uid="{939CFC0A-E1FA-4D2A-BB13-8E01069BF891}"/>
    <hyperlink ref="D30" r:id="rId66" xr:uid="{5C5FABE2-7D65-460E-9B41-780642997FC9}"/>
    <hyperlink ref="D31" r:id="rId67" xr:uid="{76F5917C-036E-4BE5-9B3B-E4689C80DFCE}"/>
    <hyperlink ref="D32" r:id="rId68" xr:uid="{1FB26C52-41B7-4AF0-B0DE-6B430CDAE820}"/>
    <hyperlink ref="D33" r:id="rId69" xr:uid="{C988A54D-61D9-4FF4-BDD8-02773049EC0F}"/>
    <hyperlink ref="D34" r:id="rId70" xr:uid="{71F42100-0058-4F36-BA95-F1B8AF95257F}"/>
    <hyperlink ref="D35" r:id="rId71" xr:uid="{DBB3AE2A-E6FA-4CC8-AA30-E7CAC7AAC1EC}"/>
    <hyperlink ref="D36" r:id="rId72" xr:uid="{53913672-23A0-4BB5-BCA1-CF1161FD24D8}"/>
    <hyperlink ref="D37" r:id="rId73" xr:uid="{259A0458-42FC-40E2-A730-407C5BD1CA67}"/>
    <hyperlink ref="D38" r:id="rId74" xr:uid="{EB5E4574-5AF8-4BC0-B3C1-52ACD951532E}"/>
    <hyperlink ref="D39" r:id="rId75" xr:uid="{C87435ED-ABDC-4620-9351-C45A0371FA0F}"/>
    <hyperlink ref="D40" r:id="rId76" xr:uid="{C6ACE32B-C8FC-4FDF-B329-71C997B508E7}"/>
    <hyperlink ref="D41" r:id="rId77" xr:uid="{00EC6A77-75A2-4A7A-BF67-CAB48961369E}"/>
    <hyperlink ref="D42" r:id="rId78" xr:uid="{716ED643-0730-403C-ADE9-8CAF57FB6C8C}"/>
    <hyperlink ref="D43" r:id="rId79" xr:uid="{CF8DAD4D-1F3A-4DB4-B111-DF384A51C234}"/>
    <hyperlink ref="D44" r:id="rId80" xr:uid="{62B35C8F-76FB-4DD9-B9D1-8CCBED888690}"/>
    <hyperlink ref="D45" r:id="rId81" xr:uid="{09EF6D19-B358-45DE-AF71-3BA8991B1E06}"/>
    <hyperlink ref="D46" r:id="rId82" xr:uid="{DB0D5085-2B61-4BE7-8EC0-6F005EF2EEF5}"/>
    <hyperlink ref="D47" r:id="rId83" xr:uid="{EED91337-5C69-42C8-AF14-1DFE7811037B}"/>
    <hyperlink ref="D48" r:id="rId84" xr:uid="{BAC445AC-2548-4102-8506-78EBFB2EB893}"/>
    <hyperlink ref="D49" r:id="rId85" xr:uid="{1AA058C3-3E2B-4DDB-A006-73DE4BA229FA}"/>
    <hyperlink ref="D50" r:id="rId86" xr:uid="{2D351FE0-5118-4266-9125-6853DF05568D}"/>
    <hyperlink ref="D51" r:id="rId87" xr:uid="{9E420B6B-CF6B-46FE-9E0F-3DE27610FCAC}"/>
    <hyperlink ref="D52" r:id="rId88" xr:uid="{37FA8E6E-0D2B-46C8-8464-DADD2CB5D658}"/>
    <hyperlink ref="D53" r:id="rId89" xr:uid="{3BDF056D-1207-4E82-9BB1-EC57A744C0F1}"/>
    <hyperlink ref="D54" r:id="rId90" xr:uid="{5EF4AF6F-4860-4594-A64F-33E569DA354A}"/>
    <hyperlink ref="D55" r:id="rId91" xr:uid="{B4606FEF-8C8C-4194-9447-FD352F39DCFC}"/>
    <hyperlink ref="D56" r:id="rId92" xr:uid="{5CCA8D30-669F-4471-9F68-E6757FF6FCE6}"/>
    <hyperlink ref="D57" r:id="rId93" xr:uid="{CD3534B0-EF6B-4BF8-A106-68404E6CAA8B}"/>
    <hyperlink ref="D58" r:id="rId94" xr:uid="{79344E45-F791-4594-8F10-F528BAB1EDA2}"/>
    <hyperlink ref="D59" r:id="rId95" xr:uid="{33998D4B-45A2-467C-9CDF-B76710E5E887}"/>
    <hyperlink ref="D60" r:id="rId96" xr:uid="{27A2AB5C-4974-4BAE-B291-5C923A60C157}"/>
    <hyperlink ref="D61" r:id="rId97" xr:uid="{4664EDA1-893E-4879-B84C-354D443A65C9}"/>
    <hyperlink ref="D62" r:id="rId98" xr:uid="{D7F6A468-2A35-46CF-8765-3730E783A756}"/>
    <hyperlink ref="D63" r:id="rId99" xr:uid="{4FEB3FAA-1A34-41E8-9A8A-E1DC030D9057}"/>
    <hyperlink ref="D64" r:id="rId100" xr:uid="{A8E52485-036B-4AC6-B944-EE53802D6F6F}"/>
    <hyperlink ref="D65" r:id="rId101" xr:uid="{36C875C9-43EF-458C-8A83-8E25FA77DBA6}"/>
    <hyperlink ref="D66" r:id="rId102" xr:uid="{412A8425-371E-4B4F-8927-5F31317C0F33}"/>
    <hyperlink ref="D67" r:id="rId103" xr:uid="{BC3C747C-D7A1-40F6-AC76-A9D3EB9F3E64}"/>
    <hyperlink ref="D68" r:id="rId104" xr:uid="{8639A783-E5A3-465F-8641-DB3B17990F43}"/>
    <hyperlink ref="D69" r:id="rId105" xr:uid="{C83A0DF3-476A-4197-8DA1-FDA9F92F4D65}"/>
    <hyperlink ref="D70" r:id="rId106" xr:uid="{9C49A33F-DBC1-4596-B8DE-53BCD1EFFA08}"/>
    <hyperlink ref="D71" r:id="rId107" xr:uid="{411FF18F-D170-4B94-B670-DF41C9D88722}"/>
    <hyperlink ref="D72" r:id="rId108" xr:uid="{6AC38BE0-5074-44E2-94DE-F58EEEF00E73}"/>
    <hyperlink ref="D73" r:id="rId109" xr:uid="{8F2A8166-569C-48ED-9759-969D54EF91F0}"/>
    <hyperlink ref="D74" r:id="rId110" xr:uid="{BDD6B0BE-5C07-49D3-98CB-37C4E51C5FE9}"/>
    <hyperlink ref="D75" r:id="rId111" xr:uid="{81CC52DA-E4B0-4395-8037-095F81E3D137}"/>
    <hyperlink ref="D76" r:id="rId112" xr:uid="{502E7840-CA7C-48BF-BF31-432FA4DEB9F8}"/>
    <hyperlink ref="D77" r:id="rId113" xr:uid="{CF71FBCD-FDB0-4CCB-AB8C-55243778ADBA}"/>
    <hyperlink ref="D78" r:id="rId114" xr:uid="{970DFF65-4E68-4629-A889-572033177BBA}"/>
    <hyperlink ref="D79" r:id="rId115" xr:uid="{35154AAC-8B76-404F-A307-8DB4F615D74F}"/>
    <hyperlink ref="D80" r:id="rId116" xr:uid="{6A94B4A5-851F-48D9-BDFD-A7EF165EA6CD}"/>
    <hyperlink ref="D81" r:id="rId117" xr:uid="{54B2A67B-2066-4053-9EBD-858A96DCB755}"/>
    <hyperlink ref="D82" r:id="rId118" xr:uid="{B304A12D-66F5-4012-8DF2-6C1CE9279725}"/>
    <hyperlink ref="D83" r:id="rId119" xr:uid="{8CFD24FF-7599-4933-BE3C-2B3FB24C11AD}"/>
    <hyperlink ref="D84" r:id="rId120" xr:uid="{71A8C575-2DD3-49D2-8155-D11878AB332A}"/>
    <hyperlink ref="D85" r:id="rId121" xr:uid="{F5234F9C-9D73-4F80-A09A-5513FBF59194}"/>
    <hyperlink ref="D86" r:id="rId122" xr:uid="{07BCB9CD-1A71-4E87-9E8C-2359194ADC15}"/>
    <hyperlink ref="D87" r:id="rId123" xr:uid="{83F3A95E-C3D5-486C-85BA-2DC1F702DAD3}"/>
    <hyperlink ref="D88" r:id="rId124" xr:uid="{A1AD3FCD-865B-402A-AC61-D9A1B87E15ED}"/>
    <hyperlink ref="D89" r:id="rId125" xr:uid="{D09CAF1A-233D-4305-98FC-32FC7453EFED}"/>
    <hyperlink ref="D90" r:id="rId126" xr:uid="{06317919-78E0-4EE1-8DC6-A55CF4B68605}"/>
    <hyperlink ref="D91" r:id="rId127" xr:uid="{D6862D7F-6250-4F80-81E7-388407FF42E2}"/>
    <hyperlink ref="D92" r:id="rId128" xr:uid="{FD070C8F-53A5-4230-A99E-0980F308D65F}"/>
    <hyperlink ref="D93" r:id="rId129" xr:uid="{7598FE02-C748-4BBD-9505-FC314442FC74}"/>
    <hyperlink ref="D94" r:id="rId130" xr:uid="{4F56B834-9651-4056-AA83-50CAC83972A9}"/>
    <hyperlink ref="D95" r:id="rId131" xr:uid="{B832EAD9-511F-4EA6-8DB4-84F8AF3CA952}"/>
    <hyperlink ref="D96" r:id="rId132" xr:uid="{7E5E6A7C-EDAB-4B86-B94D-CE4177900417}"/>
    <hyperlink ref="D97" r:id="rId133" xr:uid="{B352C622-2C9B-45C0-89AF-99AC38DFBDE6}"/>
    <hyperlink ref="D98" r:id="rId134" xr:uid="{98E9839F-EC70-4B49-801D-38D6BF86CD76}"/>
    <hyperlink ref="D99" r:id="rId135" xr:uid="{E175E048-0266-4EC1-B0D4-4E6073BB4FCF}"/>
    <hyperlink ref="D100" r:id="rId136" xr:uid="{692B7987-665A-4816-A4F9-7F2F3083DE9A}"/>
    <hyperlink ref="D101" r:id="rId137" xr:uid="{31B3A661-5512-4EA1-9E21-509E0BB7E954}"/>
    <hyperlink ref="D102" r:id="rId138" xr:uid="{ABAAB1CF-EEE5-4DDA-94F7-F03461C9EF8F}"/>
    <hyperlink ref="D103" r:id="rId139" xr:uid="{E88C28D4-E84B-458D-B98F-B1C9F75E6D6D}"/>
    <hyperlink ref="D104" r:id="rId140" xr:uid="{B866F006-FE16-4E60-9A60-ECC0403CC48A}"/>
    <hyperlink ref="D105" r:id="rId141" xr:uid="{75707099-94A1-464D-B478-0D6D7121ED22}"/>
    <hyperlink ref="D106" r:id="rId142" xr:uid="{E1F6A391-0129-4D7A-A907-B8DD2A831AA7}"/>
    <hyperlink ref="D107" r:id="rId143" xr:uid="{5C4729B7-6251-40A4-BFFD-4FFB7421D8F8}"/>
    <hyperlink ref="D108" r:id="rId144" xr:uid="{33C7915C-3E9C-4473-8052-9DC0CDCC8B72}"/>
    <hyperlink ref="D109" r:id="rId145" xr:uid="{090601C8-8908-4A68-9282-16294259CE66}"/>
    <hyperlink ref="D110" r:id="rId146" xr:uid="{BB15599B-FCB7-42C9-9968-F51ACCA1AF03}"/>
    <hyperlink ref="D111" r:id="rId147" xr:uid="{CF1F1B02-A7D0-4CF3-A07D-F2D0FCDA69D9}"/>
    <hyperlink ref="D112" r:id="rId148" xr:uid="{402BDF8E-1FE8-4E88-80EB-64EA02771A39}"/>
    <hyperlink ref="D113" r:id="rId149" xr:uid="{0AFAA9BF-D1C3-4BC4-B19B-E53F1F9BB77F}"/>
    <hyperlink ref="D114" r:id="rId150" xr:uid="{A5BFDEA8-5F4F-45E7-A487-B8A84108680C}"/>
    <hyperlink ref="D115" r:id="rId151" xr:uid="{8DCB4FDD-0F1C-45AE-AF22-0461D006CC2B}"/>
    <hyperlink ref="D116" r:id="rId152" xr:uid="{C4C8D1FA-A56E-445B-B0A9-4F778F3E232A}"/>
    <hyperlink ref="D117" r:id="rId153" xr:uid="{6F06C058-DB6F-4411-A571-998BC499397E}"/>
    <hyperlink ref="D118" r:id="rId154" xr:uid="{EEBD14BB-D180-40B7-AACD-30F7FD896AE9}"/>
    <hyperlink ref="D119" r:id="rId155" xr:uid="{6620B76E-BF9D-499C-8173-0660362021AC}"/>
    <hyperlink ref="D120" r:id="rId156" xr:uid="{C6DE084B-2CCB-42B8-AB5F-98B387B29842}"/>
    <hyperlink ref="D121" r:id="rId157" xr:uid="{1477C26E-32E1-4AC3-913A-8B5B0A91CBA1}"/>
    <hyperlink ref="D122" r:id="rId158" xr:uid="{61E465B2-F872-456F-B487-30B8B0BE4EC2}"/>
    <hyperlink ref="D123" r:id="rId159" xr:uid="{11FC40E7-A786-4D30-B894-88B51FC4923B}"/>
    <hyperlink ref="D124" r:id="rId160" xr:uid="{F92934E8-FE93-43C4-9F3A-DEA65C51D5BE}"/>
    <hyperlink ref="D125" r:id="rId161" xr:uid="{B89BB5D4-A8EA-4B8C-BC4F-6851F3BD5047}"/>
    <hyperlink ref="D126" r:id="rId162" xr:uid="{11B8D827-31B1-48E2-AAC1-FE28AB93715E}"/>
    <hyperlink ref="D127" r:id="rId163" xr:uid="{F0D71CBB-5044-4181-85D1-B13973F506B1}"/>
    <hyperlink ref="D128" r:id="rId164" xr:uid="{E18014D3-46D3-45C9-B944-33DF6DBB7A83}"/>
    <hyperlink ref="D129" r:id="rId165" xr:uid="{09A91DF3-F115-4B1D-8F4A-CD95DB1140A4}"/>
    <hyperlink ref="D130" r:id="rId166" xr:uid="{5B97651F-703E-466F-BE7E-7CE23213B9BD}"/>
    <hyperlink ref="D131" r:id="rId167" xr:uid="{946E453E-D7CC-4A91-BB39-26CB58602C4E}"/>
    <hyperlink ref="D132" r:id="rId168" xr:uid="{55EA3886-A667-4A11-85D7-04AD04C35325}"/>
    <hyperlink ref="D133" r:id="rId169" xr:uid="{3C0A8836-25F3-4BDC-8B4B-5FB6BC724AF5}"/>
    <hyperlink ref="D134" r:id="rId170" xr:uid="{F342D5C3-0A1D-45F1-A3D6-5A9348F3798D}"/>
    <hyperlink ref="D135" r:id="rId171" xr:uid="{4E59A203-DBC7-468E-99F2-7286F8343DF3}"/>
    <hyperlink ref="D136" r:id="rId172" xr:uid="{61DF4E29-6B3B-4B4D-88A1-F9CD3B5D674C}"/>
    <hyperlink ref="D137" r:id="rId173" xr:uid="{8A1F0306-CBEB-411B-8A45-7686DD7E963C}"/>
    <hyperlink ref="D138" r:id="rId174" xr:uid="{DC142165-03A9-4884-A4DC-7937782D15BC}"/>
    <hyperlink ref="D139" r:id="rId175" xr:uid="{81C71A92-36D3-401F-A35B-6A7462731EC0}"/>
    <hyperlink ref="D140" r:id="rId176" xr:uid="{9DB496CE-F570-4C73-B76B-FBE19B2A9293}"/>
    <hyperlink ref="D141" r:id="rId177" xr:uid="{C92C739C-2F7A-46BD-8825-E2160561100E}"/>
    <hyperlink ref="D142" r:id="rId178" xr:uid="{350ACF98-9E85-490A-AE81-21757E653FAF}"/>
    <hyperlink ref="D143" r:id="rId179" xr:uid="{E5BC9FB9-60C6-4680-938C-66BEC9991D9C}"/>
    <hyperlink ref="D144" r:id="rId180" xr:uid="{AAD6FB05-8032-41D9-AAEE-F9F3252974AB}"/>
    <hyperlink ref="D145" r:id="rId181" xr:uid="{0093E34C-A04D-49D4-899D-6A7076B84139}"/>
    <hyperlink ref="D146" r:id="rId182" xr:uid="{A9AC6488-D4E6-4C4B-8F14-285FB973BE28}"/>
    <hyperlink ref="D147" r:id="rId183" xr:uid="{A2F7A3F8-2FFD-4BFB-B007-E677F19BA6FB}"/>
    <hyperlink ref="D148" r:id="rId184" xr:uid="{1027FFF3-0712-4566-8B70-57811BBD1435}"/>
    <hyperlink ref="D149" r:id="rId185" xr:uid="{FF257C32-0EDA-48F2-B9CE-C2F750456491}"/>
    <hyperlink ref="D150" r:id="rId186" xr:uid="{F85A1B2F-9304-4BCE-B320-6E477940A943}"/>
    <hyperlink ref="D151" r:id="rId187" xr:uid="{317BB31F-C8D6-43F6-BD0B-29A2C90DE81E}"/>
    <hyperlink ref="D152" r:id="rId188" xr:uid="{72A49B30-FE54-43B2-BA84-1EB8D2F825EF}"/>
    <hyperlink ref="D153" r:id="rId189" xr:uid="{E30D3EBE-2A7D-49DA-8C7C-8F6A5FD7B88B}"/>
    <hyperlink ref="D154" r:id="rId190" xr:uid="{44B5B035-8BC3-4C60-BCCC-D6915D10D411}"/>
    <hyperlink ref="D155" r:id="rId191" xr:uid="{C34E4A0B-A470-4101-B165-229E39E84EC2}"/>
    <hyperlink ref="D156" r:id="rId192" xr:uid="{A1B8A18D-1A85-4C77-8D27-659BE04D58BF}"/>
    <hyperlink ref="D157" r:id="rId193" xr:uid="{5DB61712-AE94-4E24-BFB8-EA382ACBBF28}"/>
    <hyperlink ref="D158" r:id="rId194" xr:uid="{85536DE9-A92B-46DA-A3FE-C5704A3321C5}"/>
    <hyperlink ref="D159" r:id="rId195" xr:uid="{705DAD9D-7C92-4E98-B2C5-D019A6A134B3}"/>
    <hyperlink ref="D160" r:id="rId196" xr:uid="{B64C3F09-DE92-4290-8539-8C7A5412FE53}"/>
    <hyperlink ref="D161" r:id="rId197" xr:uid="{595DD933-8F57-476C-BECB-0CA59F97F005}"/>
    <hyperlink ref="D162" r:id="rId198" xr:uid="{FE92220D-2053-47D2-92E3-54FA63BEB5AB}"/>
    <hyperlink ref="D163" r:id="rId199" xr:uid="{47485ECD-F810-4F60-9A36-0EA2D7BA94C0}"/>
    <hyperlink ref="D164" r:id="rId200" xr:uid="{2D7081F7-C53F-46CC-A7A3-5B56D66F5839}"/>
    <hyperlink ref="D165" r:id="rId201" xr:uid="{5E190952-9D3A-4F44-8A1E-D40BE7439EA0}"/>
    <hyperlink ref="D166" r:id="rId202" xr:uid="{6D15C6E4-C350-4513-ABB3-9B584574D2A1}"/>
    <hyperlink ref="D167" r:id="rId203" xr:uid="{8D98BF09-3A6A-4517-99A6-30A595A28A9F}"/>
    <hyperlink ref="D168" r:id="rId204" xr:uid="{D8BA7AAB-D23C-4C6B-A488-F86C0A91EA8B}"/>
    <hyperlink ref="D169" r:id="rId205" xr:uid="{491CE08F-D65F-4834-BBD4-92FE925B7FFE}"/>
    <hyperlink ref="D170" r:id="rId206" xr:uid="{14F51271-25B5-46CB-993F-4A8BD5B8AD78}"/>
    <hyperlink ref="D171" r:id="rId207" xr:uid="{51F03236-31B5-446A-9841-288F755730D7}"/>
    <hyperlink ref="D172" r:id="rId208" xr:uid="{486CF15F-639C-417D-A26D-22EB4D3B389E}"/>
    <hyperlink ref="D173" r:id="rId209" xr:uid="{DD600628-3FB9-4C0A-BAD7-4544C492D1E2}"/>
    <hyperlink ref="D174" r:id="rId210" xr:uid="{971985F6-B89A-4F15-82F0-C1A9D06657A9}"/>
    <hyperlink ref="D175" r:id="rId211" xr:uid="{B77622A0-F555-42DC-BC7E-0B93F31FAEC8}"/>
    <hyperlink ref="D176" r:id="rId212" xr:uid="{575EB801-DA3A-45A2-B709-68902DB1D03F}"/>
    <hyperlink ref="D177" r:id="rId213" xr:uid="{F6D71A3E-B668-4434-BD79-1C89A3FFC52A}"/>
    <hyperlink ref="D178" r:id="rId214" xr:uid="{FA1D3109-B258-42AF-9D98-FB6B3907BB2F}"/>
    <hyperlink ref="D179" r:id="rId215" xr:uid="{316A46A2-95E6-46F5-B169-2801F57A5C8B}"/>
    <hyperlink ref="D180" r:id="rId216" xr:uid="{85A23A2F-B272-48A3-B2D7-E7C38561375B}"/>
    <hyperlink ref="D181" r:id="rId217" xr:uid="{C18951DD-805F-4A36-B6EE-C5752F57F950}"/>
    <hyperlink ref="D182" r:id="rId218" xr:uid="{DDA76B72-9FE5-43B3-A33C-C6901BD7E2EE}"/>
    <hyperlink ref="D183" r:id="rId219" xr:uid="{51D8DD42-7E45-48E2-83CE-FD194756CE9D}"/>
    <hyperlink ref="D184" r:id="rId220" xr:uid="{2C1EF0C0-DDAA-4522-B414-63DBC81B66FF}"/>
    <hyperlink ref="D185" r:id="rId221" xr:uid="{D4EB3F9F-C285-4137-880E-63C0EC8288A0}"/>
    <hyperlink ref="D186" r:id="rId222" xr:uid="{A00D6CCF-C133-4CCD-9F8C-265A294A085A}"/>
    <hyperlink ref="D187" r:id="rId223" xr:uid="{F221497D-FC3B-4362-8781-91CEE678067B}"/>
    <hyperlink ref="D188" r:id="rId224" xr:uid="{E96EF474-476B-4764-8D82-42A2A84A5026}"/>
    <hyperlink ref="D189" r:id="rId225" xr:uid="{7755B860-8D46-40C4-BEF8-353EB6D8AFB0}"/>
    <hyperlink ref="D190" r:id="rId226" xr:uid="{DE834486-0741-48DA-A3E3-F37A8C8AD55C}"/>
    <hyperlink ref="D191" r:id="rId227" xr:uid="{E251B9AF-949D-49FA-A9A3-30979B0D0CCE}"/>
    <hyperlink ref="D192" r:id="rId228" xr:uid="{3F163255-3A47-432D-BAC9-E40E437DE3DB}"/>
    <hyperlink ref="D193" r:id="rId229" xr:uid="{DEEA9EE8-BC95-431A-9BD2-841E400EEEFC}"/>
    <hyperlink ref="D194" r:id="rId230" xr:uid="{E660FE7F-BECD-491B-BF82-4A0AB6693E91}"/>
    <hyperlink ref="D195" r:id="rId231" xr:uid="{C139C88C-850B-4C10-A0A4-01168E2C576D}"/>
    <hyperlink ref="D196" r:id="rId232" xr:uid="{F6026C20-3591-44E3-B9DC-3135B3957469}"/>
    <hyperlink ref="D197" r:id="rId233" xr:uid="{6BB176B9-6D69-4ACB-8E14-B7B36E50BCB9}"/>
    <hyperlink ref="D198" r:id="rId234" xr:uid="{93D9E18C-8F06-45A7-BD98-411DE81B921E}"/>
    <hyperlink ref="D199" r:id="rId235" xr:uid="{3BECDEF4-AE72-4405-9647-D7BD4C8B8522}"/>
    <hyperlink ref="D200" r:id="rId236" xr:uid="{C127E5E2-B341-4463-8C8B-2DD20AC5AA56}"/>
    <hyperlink ref="D201" r:id="rId237" xr:uid="{1BEE51A4-0F6C-47F8-9A05-40066CF1EA70}"/>
    <hyperlink ref="D202" r:id="rId238" xr:uid="{26CA3076-C0A3-48AE-B05C-FF655590819C}"/>
    <hyperlink ref="D203" r:id="rId239" xr:uid="{AB3EEB67-8AF8-42F6-87C7-DCB8E24619D4}"/>
    <hyperlink ref="D204" r:id="rId240" xr:uid="{9F57101A-89EE-429E-8FBE-31AF2FDC6A35}"/>
    <hyperlink ref="D205" r:id="rId241" xr:uid="{6044DFEC-8028-4B7D-919C-E6CA0F09D0D7}"/>
    <hyperlink ref="D206" r:id="rId242" xr:uid="{D81399C3-63B8-48C9-AF27-DDE9AD0144EE}"/>
    <hyperlink ref="D207" r:id="rId243" xr:uid="{06E4D73F-087C-4FBF-B6C0-68E736A2AB54}"/>
    <hyperlink ref="D208" r:id="rId244" xr:uid="{63C34F3C-A0CA-4277-AE5D-12954C02F66E}"/>
    <hyperlink ref="D209" r:id="rId245" xr:uid="{92BAAEA1-749B-48B5-B81F-62B2C7681A84}"/>
    <hyperlink ref="D210" r:id="rId246" xr:uid="{57E6F4BF-C30B-47CD-A0CD-82B5CE203AE9}"/>
    <hyperlink ref="D211" r:id="rId247" xr:uid="{4BBA9D85-AF91-43AA-A270-1B07895CF98C}"/>
    <hyperlink ref="D212" r:id="rId248" xr:uid="{F2C4A6A7-263A-4DE8-BD4A-FC6DD22E8D29}"/>
    <hyperlink ref="D213" r:id="rId249" xr:uid="{2E50D9AC-F9C1-4890-95E4-33DDAD1B84F7}"/>
    <hyperlink ref="D214" r:id="rId250" xr:uid="{D63E986D-ACAC-4B30-A3B6-88A2A77387E0}"/>
    <hyperlink ref="D215" r:id="rId251" xr:uid="{2D8D872F-174E-4EEF-A3ED-7172D149E4B1}"/>
    <hyperlink ref="D216" r:id="rId252" xr:uid="{C86DB6DE-0E43-4697-A2C8-B870CACA20B8}"/>
    <hyperlink ref="D217" r:id="rId253" xr:uid="{99CF7FD7-CD83-4EF4-9092-6AC4DF2BD732}"/>
    <hyperlink ref="D218" r:id="rId254" xr:uid="{10BE8545-E464-47B6-A617-E2727C613611}"/>
    <hyperlink ref="D220" r:id="rId255" xr:uid="{8A27E656-7642-4446-93BA-D5113BD5130F}"/>
    <hyperlink ref="D221" r:id="rId256" xr:uid="{6DEBC000-094D-4257-A755-C95973834F01}"/>
    <hyperlink ref="D222" r:id="rId257" xr:uid="{89627960-B9C2-4087-8E06-8D1B96870B79}"/>
    <hyperlink ref="D223" r:id="rId258" xr:uid="{F8812E30-3E89-4066-A389-41DA52AD8782}"/>
    <hyperlink ref="D224" r:id="rId259" xr:uid="{D89BE705-C8F9-43D5-90DA-87F30573A368}"/>
    <hyperlink ref="D225" r:id="rId260" xr:uid="{96288890-D16A-4F16-82D8-50B14523AA60}"/>
    <hyperlink ref="D226" r:id="rId261" xr:uid="{11861DFF-4D91-48D8-B4EA-FB2883120FF3}"/>
    <hyperlink ref="D227" r:id="rId262" xr:uid="{AF405456-1B93-4A80-A5E0-9CA0C89B91FC}"/>
    <hyperlink ref="D228" r:id="rId263" xr:uid="{ED6DFA56-7BA4-4052-B9C2-8F5D7C0CC96E}"/>
    <hyperlink ref="D229" r:id="rId264" xr:uid="{A678BD1F-9C54-4348-8075-1904EA22B031}"/>
    <hyperlink ref="D230" r:id="rId265" xr:uid="{67C9E74C-7D39-46D3-A817-6806151D8400}"/>
    <hyperlink ref="D219" r:id="rId266" xr:uid="{A594A6BA-C1DD-4C7D-A8C4-6C9167C50003}"/>
    <hyperlink ref="C219" r:id="rId267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</hyperlinks>
  <pageMargins left="0.511811024" right="0.511811024" top="0.78740157499999996" bottom="0.78740157499999996" header="0.31496062000000002" footer="0.31496062000000002"/>
  <legacyDrawing r:id="rId2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B41D-754B-41F4-AE3E-2CEADDCF305E}">
  <dimension ref="A1"/>
  <sheetViews>
    <sheetView workbookViewId="0">
      <selection activeCell="E4" sqref="E4"/>
    </sheetView>
  </sheetViews>
  <sheetFormatPr defaultRowHeight="14.4" x14ac:dyDescent="0.3"/>
  <sheetData>
    <row r="1" spans="1:1" ht="27.75" customHeight="1" x14ac:dyDescent="0.3">
      <c r="A1" s="1" t="s">
        <v>571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AREAS</vt:lpstr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Vinicius Soares</cp:lastModifiedBy>
  <dcterms:created xsi:type="dcterms:W3CDTF">2026-03-04T11:46:26Z</dcterms:created>
  <dcterms:modified xsi:type="dcterms:W3CDTF">2026-05-07T17:18:17Z</dcterms:modified>
</cp:coreProperties>
</file>